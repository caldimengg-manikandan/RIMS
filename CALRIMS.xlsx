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Analysis Dashboard" sheetId="1" r:id="rId5"/>
    <sheet state="visible" name="Test Analysis Details" sheetId="2" r:id="rId6"/>
    <sheet state="visible" name="Dashboard" sheetId="3" r:id="rId7"/>
    <sheet state="visible" name="Candidate Apply " sheetId="4" r:id="rId8"/>
    <sheet state="visible" name="HR login" sheetId="5" r:id="rId9"/>
    <sheet state="visible" name="Job posting" sheetId="6" r:id="rId10"/>
    <sheet state="visible" name="Applications" sheetId="7" r:id="rId11"/>
    <sheet state="visible" name="Hiring Pipeline" sheetId="8" r:id="rId12"/>
    <sheet state="visible" name="Reports" sheetId="9" r:id="rId13"/>
    <sheet state="visible" name="Tickets" sheetId="10" r:id="rId14"/>
    <sheet state="visible" name="Batch analysis" sheetId="11" r:id="rId15"/>
  </sheets>
  <definedNames/>
  <calcPr/>
</workbook>
</file>

<file path=xl/sharedStrings.xml><?xml version="1.0" encoding="utf-8"?>
<sst xmlns="http://schemas.openxmlformats.org/spreadsheetml/2006/main" count="610" uniqueCount="421">
  <si>
    <t>Column 1</t>
  </si>
  <si>
    <t>Open Tickets</t>
  </si>
  <si>
    <t>Completed Tickets</t>
  </si>
  <si>
    <t>Total Tickets</t>
  </si>
  <si>
    <t>Tester</t>
  </si>
  <si>
    <t>Total Modules</t>
  </si>
  <si>
    <t>Dashboard</t>
  </si>
  <si>
    <t>Dharani</t>
  </si>
  <si>
    <t xml:space="preserve">Candidate Apply </t>
  </si>
  <si>
    <t>surya</t>
  </si>
  <si>
    <t>Job posting</t>
  </si>
  <si>
    <t>Dinesh</t>
  </si>
  <si>
    <t>Applications</t>
  </si>
  <si>
    <t>Hiring Pipeline</t>
  </si>
  <si>
    <t>Reports</t>
  </si>
  <si>
    <t>Tickets</t>
  </si>
  <si>
    <t>Batch analysis</t>
  </si>
  <si>
    <t>HR login</t>
  </si>
  <si>
    <t xml:space="preserve"> </t>
  </si>
  <si>
    <t>Date</t>
  </si>
  <si>
    <t>Test Case
ID</t>
  </si>
  <si>
    <t>Test Case 
Type</t>
  </si>
  <si>
    <t>Title</t>
  </si>
  <si>
    <t>Steps to Execute</t>
  </si>
  <si>
    <t>Expected Result</t>
  </si>
  <si>
    <t>Actual Value</t>
  </si>
  <si>
    <t>Status</t>
  </si>
  <si>
    <t>Bug date</t>
  </si>
  <si>
    <t>Completed Date</t>
  </si>
  <si>
    <t>DB001</t>
  </si>
  <si>
    <t>DB002</t>
  </si>
  <si>
    <t>DB003</t>
  </si>
  <si>
    <t>DB004</t>
  </si>
  <si>
    <t>DB005</t>
  </si>
  <si>
    <t>DB006</t>
  </si>
  <si>
    <t>DB007</t>
  </si>
  <si>
    <t>DB008</t>
  </si>
  <si>
    <t>DB009</t>
  </si>
  <si>
    <t>DB010</t>
  </si>
  <si>
    <t>DB011</t>
  </si>
  <si>
    <t>DB012</t>
  </si>
  <si>
    <t>DB013</t>
  </si>
  <si>
    <t>DB014</t>
  </si>
  <si>
    <t>DB015</t>
  </si>
  <si>
    <t>DB016</t>
  </si>
  <si>
    <t>DB017</t>
  </si>
  <si>
    <t>Steps to 
Execute</t>
  </si>
  <si>
    <t>Expected Value</t>
  </si>
  <si>
    <t>Bug  Date</t>
  </si>
  <si>
    <t>H001</t>
  </si>
  <si>
    <t>Functionality</t>
  </si>
  <si>
    <t>Navigate  to the  openings  page</t>
  </si>
  <si>
    <t>1.Clcik Brows Roles
2.Navigate to the Openings page</t>
  </si>
  <si>
    <t>It need to Redirect into Opening Page</t>
  </si>
  <si>
    <t>It Successfully NAvigate to the Openings Page</t>
  </si>
  <si>
    <t>Pass</t>
  </si>
  <si>
    <t>H002</t>
  </si>
  <si>
    <t>Verify input field focus styling consistency</t>
  </si>
  <si>
    <t>1.Navigate to the "Apply Now" form
2.Click on the Full Name input field
3.Click on other fields (Email, Phone) and compare</t>
  </si>
  <si>
    <t>All input fields should have consistent</t>
  </si>
  <si>
    <t>All the Input  Field Shows consistent fields</t>
  </si>
  <si>
    <t>H003</t>
  </si>
  <si>
    <t>Validate email input format</t>
  </si>
  <si>
    <t>1.Navigate to the "Apply Now" form
2.Enter invalid email (e.g., 145454646546544565454@gmc)</t>
  </si>
  <si>
    <t>System should validate email format</t>
  </si>
  <si>
    <t>Invalid email is accepted</t>
  </si>
  <si>
    <t>Fail</t>
  </si>
  <si>
    <t>H004</t>
  </si>
  <si>
    <t>Validate phone number input</t>
  </si>
  <si>
    <t>1.Navigate to the "Apply Now" form
2.Enter invalid phone input (e.g., jksakdkdjshjkf...)
3.Click submit form</t>
  </si>
  <si>
    <t>Only numeric input should be allowed</t>
  </si>
  <si>
    <t>Field accepts random text input</t>
  </si>
  <si>
    <t>H005</t>
  </si>
  <si>
    <t>Verify successful resume upload with valid file</t>
  </si>
  <si>
    <t>1.Navigate to the "Apply Now" form
2.Click on Upload Resume
3.Select a valid file (e.g., .pdf or .docx)
4.Upload the file</t>
  </si>
  <si>
    <t>File should upload successfully</t>
  </si>
  <si>
    <t>File uploads successfully</t>
  </si>
  <si>
    <t>H006</t>
  </si>
  <si>
    <t>Verify system accepts a valid CV with proper content</t>
  </si>
  <si>
    <t>1.Navigate to the "Apply Now" form
2.Fill all required fields (Name, Email, etc.)
3.Click on Upload Resume
4.Click Submit</t>
  </si>
  <si>
    <t>File name is displayed correctly</t>
  </si>
  <si>
    <t>CV uploads and displays correctly</t>
  </si>
  <si>
    <t>H007</t>
  </si>
  <si>
    <t>Verify job filtering using keyword "Software"</t>
  </si>
  <si>
    <t>1.Navigate to Careers / Job Listings page
2.In search bar, type "Software"
3.Observe the job results displayed</t>
  </si>
  <si>
    <t>Only Software-related jobs (2 openings) should be displayed</t>
  </si>
  <si>
    <t>Filtering is not working correctly</t>
  </si>
  <si>
    <t>H008</t>
  </si>
  <si>
    <t>Verify partial keyword search functionality</t>
  </si>
  <si>
    <t>1.Navigate to Careers / Job Listings page
2.In search bar, type "soft"
3.Observe displayed results</t>
  </si>
  <si>
    <t>System should match partial keyword</t>
  </si>
  <si>
    <t>Partial keyword search is not working</t>
  </si>
  <si>
    <t>H009</t>
  </si>
  <si>
    <t>Verify behavior for partial keyword input</t>
  </si>
  <si>
    <t>1.Navigate to Careers page
2.Type "soft" or "ware" in search bar
3.Check if "Clear Filter" is visible</t>
  </si>
  <si>
    <t>"Clear Filter" should be visible</t>
  </si>
  <si>
    <t>"Clear Filter" is NOT visible</t>
  </si>
  <si>
    <t>HRL001</t>
  </si>
  <si>
    <t>HRL002</t>
  </si>
  <si>
    <t>HRL003</t>
  </si>
  <si>
    <t>HRL004</t>
  </si>
  <si>
    <t>HRL005</t>
  </si>
  <si>
    <t>HRL006</t>
  </si>
  <si>
    <t>HRL007</t>
  </si>
  <si>
    <t>HRL008</t>
  </si>
  <si>
    <t>HRL009</t>
  </si>
  <si>
    <t>HRL010</t>
  </si>
  <si>
    <t>HRL011</t>
  </si>
  <si>
    <t>HRL012</t>
  </si>
  <si>
    <t>HRL013</t>
  </si>
  <si>
    <t>HRL014</t>
  </si>
  <si>
    <t>JP001</t>
  </si>
  <si>
    <t>Navigate to Job Posting</t>
  </si>
  <si>
    <t>1.Go to Job Posting page
2.Enter valid job details (Title, Skills, Experience, Location)
3.In Interview Pipeline → Select AI Generated Questions
4.Click Review &amp; Post Job</t>
  </si>
  <si>
    <t>Job should be posted successfully</t>
  </si>
  <si>
    <t>Job posted successfully with AI questions</t>
  </si>
  <si>
    <t>JP002</t>
  </si>
  <si>
    <t>Job Posting with Uploaded Questions</t>
  </si>
  <si>
    <t>1.Enter all valid job details
2.Select Upload Questions (AI Evaluated)
3.Upload a valid file (.pdf/.docx/.txt under 5MB)
4.Click Review &amp; Post Job</t>
  </si>
  <si>
    <t>Job posted successfully</t>
  </si>
  <si>
    <t>ob posted successfully with uploaded questions</t>
  </si>
  <si>
    <t>JP003</t>
  </si>
  <si>
    <t>Job Posting with Mixed Questions Mode</t>
  </si>
  <si>
    <t>1.Enter valid job details
2.Select Mixed Questions
3.Upload a valid file (optional)
4.Click Review &amp; Post Job</t>
  </si>
  <si>
    <t>Job posted successfully with mixed questions</t>
  </si>
  <si>
    <t>JP004</t>
  </si>
  <si>
    <t>System Allows Job Posting with Invalid Characters and Numeric-Only Inputs</t>
  </si>
  <si>
    <t>1.Go to Job Posting Page
In fields like:
Job Title
Description
2.Enter invalid inputs such as:
@@@@@@@
123456789
###$$$%%%
3.Click Post Job</t>
  </si>
  <si>
    <t>Reject invalid inputs</t>
  </si>
  <si>
    <t>System accepts invalid inputs</t>
  </si>
  <si>
    <t>JP005</t>
  </si>
  <si>
    <t>Enable Aptitude Round</t>
  </si>
  <si>
    <t>1.Toggle “Enable Aptitude Round” ON and save</t>
  </si>
  <si>
    <t>Aptitude round appears in candidate pipeline</t>
  </si>
  <si>
    <t>Aptitude round displayed correctly in candidate pipeline</t>
  </si>
  <si>
    <t>JP006</t>
  </si>
  <si>
    <t>Disable Aptitude Round</t>
  </si>
  <si>
    <t>1.Toggle “Enable Aptitude Round” OFF and save</t>
  </si>
  <si>
    <t>Aptitude round is removed from candidate pipeline</t>
  </si>
  <si>
    <t>Aptitude round removed successfully from candidate pipeline</t>
  </si>
  <si>
    <t>JP007</t>
  </si>
  <si>
    <t>Verify Max Duration Limit</t>
  </si>
  <si>
    <t>1.Set interview Time
2.Set duration to 3000 mins</t>
  </si>
  <si>
    <t>System should reject input or show error</t>
  </si>
  <si>
    <t>System  reject input or show error</t>
  </si>
  <si>
    <t>JP008</t>
  </si>
  <si>
    <t>Verify Job Card Display</t>
  </si>
  <si>
    <t>1.Navigate to Job Postings.
2.Observe the first job card.</t>
  </si>
  <si>
    <t>System should display Job ID, Title, Status, and Posted Date.</t>
  </si>
  <si>
    <t xml:space="preserve">Job card  displays </t>
  </si>
  <si>
    <t>JP009</t>
  </si>
  <si>
    <t>UI/UX</t>
  </si>
  <si>
    <t>Verify Search Bar Placeholder</t>
  </si>
  <si>
    <t>1. Look at the search input field.</t>
  </si>
  <si>
    <t>Search bar should have a clear instructional placeholder.</t>
  </si>
  <si>
    <t>Search bar displays "Search by title or Job ID..." as expected.</t>
  </si>
  <si>
    <t>H010</t>
  </si>
  <si>
    <t>verify Delete actions</t>
  </si>
  <si>
    <t>1. Redirect to Job Posting.
2. Select any Job  Openings .
3. Click the Delete (trash icon) in the Actions column.
4. Confirm the deletion.</t>
  </si>
  <si>
    <t>Delete Notification should arrive before the deletion</t>
  </si>
  <si>
    <t>Delete Notification appears BEfore the Deletion</t>
  </si>
  <si>
    <t>H011</t>
  </si>
  <si>
    <t>verify Edit Actions</t>
  </si>
  <si>
    <t>1.Navigate to Job Posting
2.Edit Any openings Card
3.click Edit And change Time Durations
4.Save Changes Should appear in the Edited Card</t>
  </si>
  <si>
    <t>Changes Should Reflect IN the Opening Card</t>
  </si>
  <si>
    <t>Time Duration IS not Changed After the SAve Changes</t>
  </si>
  <si>
    <t>H012</t>
  </si>
  <si>
    <t>Job Title Number Only</t>
  </si>
  <si>
    <t>1.Enter “123456” as job title</t>
  </si>
  <si>
    <t>System shows validation error OR disallows numeric-only titles</t>
  </si>
  <si>
    <t>It Allows  Hr to Create A  job Without Validations error</t>
  </si>
  <si>
    <t>H013</t>
  </si>
  <si>
    <t>Job Title Mix Special Character</t>
  </si>
  <si>
    <t>1.Enter “Dev@123!” as job titile</t>
  </si>
  <si>
    <t>System allows valid characters, disallows invalid ones</t>
  </si>
  <si>
    <t>System allow to create a JOB posting without any error</t>
  </si>
  <si>
    <t>H014</t>
  </si>
  <si>
    <t>Job Title Only Special Characters</t>
  </si>
  <si>
    <t>1.Enter @#$% as title and save</t>
  </si>
  <si>
    <t>System should reject with validation: “Job Title must contain letters”</t>
  </si>
  <si>
    <t xml:space="preserve">Without any error it creates a job </t>
  </si>
  <si>
    <t>H015</t>
  </si>
  <si>
    <t>Multiple Job Posting</t>
  </si>
  <si>
    <t>1.Save multiple jobs with only symbols</t>
  </si>
  <si>
    <t>System should prevent meaningless duplicates</t>
  </si>
  <si>
    <t>Without Any validation Error It creates A job</t>
  </si>
  <si>
    <t>H016</t>
  </si>
  <si>
    <t xml:space="preserve">Job Title Accepts Invalid Inputs
</t>
  </si>
  <si>
    <t xml:space="preserve">1.Enter only numbers (12345), only symbols (@@@@), and
 mixed invalid characters, then create job
</t>
  </si>
  <si>
    <t>System should restrict invalid job titles and allow only meaningful titles with alphabets</t>
  </si>
  <si>
    <t>System allows job creation with numbers, special characters,
and invalid titles without any validation</t>
  </si>
  <si>
    <t>H017</t>
  </si>
  <si>
    <t>UI breaks on smaller screens</t>
  </si>
  <si>
    <t xml:space="preserve">1.Open job posting page on tablet or resize browser to smaller width
</t>
  </si>
  <si>
    <t xml:space="preserve">All elements should be visible, properly aligned, and accessible
</t>
  </si>
  <si>
    <t>Some features are hidden/off-screen and not accessible</t>
  </si>
  <si>
    <t>H018</t>
  </si>
  <si>
    <t xml:space="preserve">Horizontal scroll issue
</t>
  </si>
  <si>
    <t xml:space="preserve">1.Open page on mobile resolution
</t>
  </si>
  <si>
    <t xml:space="preserve">Page should not require horizontal scrolling
</t>
  </si>
  <si>
    <t>Horizontal scroll appears and hides content</t>
  </si>
  <si>
    <t>H019</t>
  </si>
  <si>
    <t>Buttons not visible on small screens</t>
  </si>
  <si>
    <t>1.Reduce screen size and try accessing Save/Submit button</t>
  </si>
  <si>
    <t>Buttons should remain visible or accessible via scroll</t>
  </si>
  <si>
    <t>Buttons are hidden and user cannot proceed</t>
  </si>
  <si>
    <t>H020</t>
  </si>
  <si>
    <t>No warning on page refresh with unsaved data</t>
  </si>
  <si>
    <t xml:space="preserve">1.Enter job details and refresh page
</t>
  </si>
  <si>
    <t xml:space="preserve">System should warn user about unsaved changes before refresh
</t>
  </si>
  <si>
    <t>Page refreshes without warning and all entered data is lost</t>
  </si>
  <si>
    <t>H021</t>
  </si>
  <si>
    <t>Validation for Upload Questions mode</t>
  </si>
  <si>
    <t>1.Select “Upload Questions (AI Evaluated)” 
2. try to post job without uploading file</t>
  </si>
  <si>
    <t>System should show validation message prompting user to upload questions</t>
  </si>
  <si>
    <t>System correctly shows message: “You selected
 upload questions, please upload a file”</t>
  </si>
  <si>
    <t>H022</t>
  </si>
  <si>
    <t xml:space="preserve">Mixed Questions allows posting without uploaded file
</t>
  </si>
  <si>
    <t xml:space="preserve">1.Select “Mixed Questions” and post job without uploading any question file
</t>
  </si>
  <si>
    <t xml:space="preserve">System should either require file upload OR clearly switch to AI-only mode with message
</t>
  </si>
  <si>
    <t>System allows job posting without uploading file and
 no validation or indication shown</t>
  </si>
  <si>
    <t>H023</t>
  </si>
  <si>
    <t xml:space="preserve">
Job link redirects 
</t>
  </si>
  <si>
    <t xml:space="preserve">1.Create a job posting and click on the generated job link
</t>
  </si>
  <si>
    <t xml:space="preserve">Job link should open the job details page correctly
</t>
  </si>
  <si>
    <t>Clicking job link redirects to 404 error page</t>
  </si>
  <si>
    <t>H024</t>
  </si>
  <si>
    <t>Interview duration exceeds limit without validation message</t>
  </si>
  <si>
    <t xml:space="preserve">1.Edit a job, enter 12000 minutes in interview duration, and click save
</t>
  </si>
  <si>
    <t xml:space="preserve">System should show validation error (e.g., “Max allowed is 300 minutes”) 
and prevent saving
</t>
  </si>
  <si>
    <t>System does not update value and does not show any validation message</t>
  </si>
  <si>
    <t>A001</t>
  </si>
  <si>
    <t>Verify all applications are displayed correctly</t>
  </si>
  <si>
    <t>1.Navigate to HR Dashboard → Applications
2.Observe the list</t>
  </si>
  <si>
    <t>Each application should show the field correctly</t>
  </si>
  <si>
    <t>All details are displayed correctly</t>
  </si>
  <si>
    <t>A002</t>
  </si>
  <si>
    <t>Duplicate Candidate Entries Allowed in Applications Dashboard</t>
  </si>
  <si>
    <t>1.Submit an application with same candidate details (same email/phone/job role)
2.Submit again (or refresh and reapply)
3.Navigate to HR Dashboard → Applications
4.Observe the application list</t>
  </si>
  <si>
    <t>Prevent duplicate application submission</t>
  </si>
  <si>
    <t>Duplicate entries are created for the same candidate</t>
  </si>
  <si>
    <t>AI Resume Analysis Section</t>
  </si>
  <si>
    <t>1.Open View Details page
2.Check AI Resume Analysis section</t>
  </si>
  <si>
    <t>Score, Skill Match %, Experience displayed</t>
  </si>
  <si>
    <t>Data shown properly</t>
  </si>
  <si>
    <t>A003</t>
  </si>
  <si>
    <t>Candidate Details Display Properly on View Details Page</t>
  </si>
  <si>
    <t>1.Go to HR Dashboard
2.Click View Details on any candidate
3.Observe the page</t>
  </si>
  <si>
    <t>Candidate name, email, job role displayed correctly</t>
  </si>
  <si>
    <t>Data loads correctly</t>
  </si>
  <si>
    <t>Reject Candidate Action</t>
  </si>
  <si>
    <t>1.Click Reject Candidate</t>
  </si>
  <si>
    <t>UI reflects change</t>
  </si>
  <si>
    <t>Candidate status updated to Rejected</t>
  </si>
  <si>
    <t>A004</t>
  </si>
  <si>
    <t>Date Filter Not Matching Correct Applications in HR Dashboard</t>
  </si>
  <si>
    <t>1.Navigate to HR Dashboard → Applications
2.Select a specific date (e.g., 25/03/2026) from the date filter
3.Observe the filtered results</t>
  </si>
  <si>
    <t>Only applications matching the selected date should be displayed</t>
  </si>
  <si>
    <t>Date filter is not working as expected</t>
  </si>
  <si>
    <t>A005</t>
  </si>
  <si>
    <t>Date and Status Filters Not Applied Correctly in Combination</t>
  </si>
  <si>
    <t>1.Navigate to HR Dashboard → Applications
2.Select Date = 25/03/2026
3.Select Status = Applied
4.Observe the filtered results</t>
  </si>
  <si>
    <t>No other date entries should be shown</t>
  </si>
  <si>
    <t>Filters are not working together properly</t>
  </si>
  <si>
    <t>A006</t>
  </si>
  <si>
    <t>Downloading Original Resume Results in 404 Error</t>
  </si>
  <si>
    <t>1.Navigate to HR Dashboard → Applications
2.Click on View Details of any candidate
3.Click on Download Original Resume
4.Observe the response</t>
  </si>
  <si>
    <t>Resume file should be downloaded successfully</t>
  </si>
  <si>
    <t>System returns 404 Not Found error</t>
  </si>
  <si>
    <t>A007</t>
  </si>
  <si>
    <t>Interview Link in Email Redirects to Localhost and Is Not Accessible</t>
  </si>
  <si>
    <t>Open the interview link from email (as candidate)</t>
  </si>
  <si>
    <t>Interview link should open a publicly accessible page</t>
  </si>
  <si>
    <t>Page cannot be accessed by candidate</t>
  </si>
  <si>
    <t>A008</t>
  </si>
  <si>
    <t>System Displays Proper Error Message for Non-Readable Resume Content</t>
  </si>
  <si>
    <t>1.Go to application form
2.Upload a drawing/image-based PDF (no readable text)
3.Submit the application
4.Navigate to HR Dashboard → View Details</t>
  </si>
  <si>
    <t>Detect that resume content cannot be extracted</t>
  </si>
  <si>
    <t>Error extracting text</t>
  </si>
  <si>
    <t>A009</t>
  </si>
  <si>
    <t>Date Filter Accepts Unrealistic Future Year Without Validation</t>
  </si>
  <si>
    <t>1.Go to HR Dashboard → Applications
2.Enter date: 04/08/275760
3.Apply filter</t>
  </si>
  <si>
    <t>System should Restrict year range</t>
  </si>
  <si>
    <t>System accepts the date</t>
  </si>
  <si>
    <t>A010</t>
  </si>
  <si>
    <t>A011</t>
  </si>
  <si>
    <t>A012</t>
  </si>
  <si>
    <t>A013</t>
  </si>
  <si>
    <t>A014</t>
  </si>
  <si>
    <t>A015</t>
  </si>
  <si>
    <t>A016</t>
  </si>
  <si>
    <t>A017</t>
  </si>
  <si>
    <t>HP001</t>
  </si>
  <si>
    <t>Open Role Pipeline</t>
  </si>
  <si>
    <t>Click on a job role from hiring list</t>
  </si>
  <si>
    <t>Pipeline with all stages displayed</t>
  </si>
  <si>
    <t>HP002</t>
  </si>
  <si>
    <t>Candidate in Applied Stage</t>
  </si>
  <si>
    <t>Candidate applies for role</t>
  </si>
  <si>
    <t>Candidate appears in Applied stage</t>
  </si>
  <si>
    <t>HP003</t>
  </si>
  <si>
    <t>Move Applied → Screened</t>
  </si>
  <si>
    <t>Select candidate → Move to Screened</t>
  </si>
  <si>
    <t>Candidate moves to Screened stage</t>
  </si>
  <si>
    <t>HP004</t>
  </si>
  <si>
    <t>Invalid Stage Jump</t>
  </si>
  <si>
    <t>Try moving Applied → Hired directly</t>
  </si>
  <si>
    <t>System restricts invalid movement</t>
  </si>
  <si>
    <t>HP005</t>
  </si>
  <si>
    <t>Move Screened → Scheduled</t>
  </si>
  <si>
    <t>Move candidate to Scheduled</t>
  </si>
  <si>
    <t>Candidate appears in Scheduled stage</t>
  </si>
  <si>
    <t>HP006</t>
  </si>
  <si>
    <t>Schedule Interview</t>
  </si>
  <si>
    <t>Add date &amp; time for interview</t>
  </si>
  <si>
    <t>Interview scheduled successfully</t>
  </si>
  <si>
    <t>HP007</t>
  </si>
  <si>
    <t>Move Scheduled → Attended</t>
  </si>
  <si>
    <t>Mark interview as attended</t>
  </si>
  <si>
    <t>Candidate moves to Attended</t>
  </si>
  <si>
    <t>HP008</t>
  </si>
  <si>
    <t>Add Interview Feedback</t>
  </si>
  <si>
    <t>Enter feedback &amp; save</t>
  </si>
  <si>
    <t>Feedback saved successfully</t>
  </si>
  <si>
    <t>HP009</t>
  </si>
  <si>
    <t>Move Attended → Offered</t>
  </si>
  <si>
    <t>Move candidate to Offered</t>
  </si>
  <si>
    <t>Candidate appears in Offered stage</t>
  </si>
  <si>
    <t>HP010</t>
  </si>
  <si>
    <t>Generate Offer</t>
  </si>
  <si>
    <t>Click generate offer</t>
  </si>
  <si>
    <t>Offer created successfully</t>
  </si>
  <si>
    <t>HP011</t>
  </si>
  <si>
    <t>Move Offered → Hired</t>
  </si>
  <si>
    <t>Accept offer → Move to Hired</t>
  </si>
  <si>
    <t>Candidate appears in Hired stage</t>
  </si>
  <si>
    <t>HP012</t>
  </si>
  <si>
    <t>Reject from Applied</t>
  </si>
  <si>
    <t>Reject candidate in Applied</t>
  </si>
  <si>
    <t>Candidate moves to Rejected</t>
  </si>
  <si>
    <t>HP013</t>
  </si>
  <si>
    <t>Reject from Any Stage</t>
  </si>
  <si>
    <t>Reject candidate from any stage</t>
  </si>
  <si>
    <t>HP014</t>
  </si>
  <si>
    <t>Stage Count Validation</t>
  </si>
  <si>
    <t>Check count in each stage</t>
  </si>
  <si>
    <t>Counts match actual candidates</t>
  </si>
  <si>
    <t>HP015</t>
  </si>
  <si>
    <t>Drag &amp; Drop Movement</t>
  </si>
  <si>
    <t>Drag candidate between stages</t>
  </si>
  <si>
    <t>Candidate moves correctly</t>
  </si>
  <si>
    <t>HP016</t>
  </si>
  <si>
    <t>Duplicate Movement</t>
  </si>
  <si>
    <t>Move same candidate multiple times quickly</t>
  </si>
  <si>
    <t>No duplication occurs</t>
  </si>
  <si>
    <t>HP017</t>
  </si>
  <si>
    <t>View Candidate Details</t>
  </si>
  <si>
    <t>Click on candidate card</t>
  </si>
  <si>
    <t>Full details displayed</t>
  </si>
  <si>
    <t>HP018</t>
  </si>
  <si>
    <t>Refresh Pipeline</t>
  </si>
  <si>
    <t>Refresh the page</t>
  </si>
  <si>
    <t>Data remains consistent</t>
  </si>
  <si>
    <t>HP019</t>
  </si>
  <si>
    <t>Load Pipeline Speed</t>
  </si>
  <si>
    <t>Open pipeline view</t>
  </si>
  <si>
    <t>Loads within acceptable time</t>
  </si>
  <si>
    <t>HP020</t>
  </si>
  <si>
    <t>Security</t>
  </si>
  <si>
    <t>Unauthorized Access</t>
  </si>
  <si>
    <t>Access without login/permission</t>
  </si>
  <si>
    <t>Access denied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</si>
  <si>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</si>
  <si>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</si>
  <si>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</si>
  <si>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</si>
  <si>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</si>
  <si>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</si>
  <si>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</si>
  <si>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</si>
  <si>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</si>
  <si>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</si>
  <si>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</si>
  <si>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</si>
  <si>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</si>
  <si>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</si>
  <si>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</si>
  <si>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</si>
  <si>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</si>
  <si>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</si>
  <si>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</si>
  <si>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</si>
  <si>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</si>
  <si>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</si>
  <si>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</si>
  <si>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</si>
  <si>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</si>
  <si>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</si>
  <si>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</si>
  <si>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</si>
  <si>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</si>
  <si>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</si>
  <si>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</si>
  <si>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</si>
  <si>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BA001</t>
  </si>
  <si>
    <t>BA002</t>
  </si>
  <si>
    <t>BA003</t>
  </si>
  <si>
    <t>BA004</t>
  </si>
  <si>
    <t>BA005</t>
  </si>
  <si>
    <t>BA006</t>
  </si>
  <si>
    <t>BA007</t>
  </si>
  <si>
    <t>BA008</t>
  </si>
  <si>
    <t>BA009</t>
  </si>
  <si>
    <t>BA010</t>
  </si>
  <si>
    <t>BA011</t>
  </si>
  <si>
    <t>BA012</t>
  </si>
  <si>
    <t>BA013</t>
  </si>
  <si>
    <t>BA014</t>
  </si>
  <si>
    <t>BA015</t>
  </si>
  <si>
    <t>BA016</t>
  </si>
  <si>
    <t>BA017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</si>
</sst>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/MM/yyyy"/>
  </numFmts>
  <fonts count="17">
    <font>
      <sz val="10.0"/>
      <color rgb="FF000000"/>
      <name val="Arial"/>
      <scheme val="minor"/>
    </font>
    <font>
      <b/>
      <color theme="1"/>
      <name val="Roboto"/>
    </font>
    <font>
      <b/>
      <color theme="1"/>
      <name val="Arial"/>
    </font>
    <font>
      <color theme="1"/>
      <name val="Arial"/>
    </font>
    <font>
      <color rgb="FF000000"/>
      <name val="&quot;Google Sans&quot;"/>
    </font>
    <font>
      <color theme="1"/>
      <name val="Arial"/>
      <scheme val="minor"/>
    </font>
    <font>
      <sz val="11.0"/>
      <color rgb="FF222222"/>
      <name val="&quot;Google Sans&quot;"/>
    </font>
    <font>
      <b/>
      <sz val="22.0"/>
      <color theme="1"/>
      <name val="Arial"/>
    </font>
    <font>
      <b/>
      <sz val="22.0"/>
      <color rgb="FFFFFFFF"/>
      <name val="Arial"/>
    </font>
    <font>
      <color theme="1"/>
      <name val="Roboto"/>
    </font>
    <font>
      <color rgb="FF434343"/>
      <name val="Roboto"/>
    </font>
    <font>
      <color rgb="FF11734B"/>
      <name val="Roboto"/>
    </font>
    <font>
      <color rgb="FF473821"/>
      <name val="Roboto"/>
    </font>
    <font>
      <color rgb="FF434343"/>
      <name val="Arial"/>
    </font>
    <font>
      <color rgb="FFB10202"/>
      <name val="Roboto"/>
    </font>
    <font>
      <color rgb="FF215A6C"/>
      <name val="Roboto"/>
    </font>
    <font>
      <color rgb="FF0A53A8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3" fontId="6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0" fillId="0" fontId="5" numFmtId="0" xfId="0" applyFont="1"/>
    <xf borderId="0" fillId="4" fontId="7" numFmtId="0" xfId="0" applyAlignment="1" applyFill="1" applyFont="1">
      <alignment horizontal="center" readingOrder="0" vertical="bottom"/>
    </xf>
    <xf borderId="0" fillId="0" fontId="5" numFmtId="0" xfId="0" applyAlignment="1" applyFont="1">
      <alignment readingOrder="0"/>
    </xf>
    <xf borderId="0" fillId="5" fontId="8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vertical="bottom"/>
    </xf>
    <xf borderId="0" fillId="7" fontId="7" numFmtId="0" xfId="0" applyAlignment="1" applyFill="1" applyFont="1">
      <alignment horizontal="center" vertical="bottom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5" fontId="10" numFmtId="164" xfId="0" applyAlignment="1" applyBorder="1" applyFont="1" applyNumberFormat="1">
      <alignment horizontal="right" shrinkToFit="0" vertical="center" wrapText="0"/>
    </xf>
    <xf borderId="1" fillId="5" fontId="10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ont="1">
      <alignment horizontal="center" shrinkToFit="0" vertical="center" wrapText="0"/>
    </xf>
    <xf borderId="1" fillId="5" fontId="10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shrinkToFit="0" vertical="center" wrapText="0"/>
    </xf>
    <xf borderId="1" fillId="5" fontId="10" numFmtId="165" xfId="0" applyAlignment="1" applyBorder="1" applyFont="1" applyNumberFormat="1">
      <alignment horizontal="right" shrinkToFit="0" vertical="center" wrapText="0"/>
    </xf>
    <xf borderId="1" fillId="8" fontId="10" numFmtId="164" xfId="0" applyAlignment="1" applyBorder="1" applyFill="1" applyFont="1" applyNumberFormat="1">
      <alignment horizontal="right" shrinkToFit="0" vertical="center" wrapText="0"/>
    </xf>
    <xf borderId="1" fillId="8" fontId="11" numFmtId="0" xfId="0" applyAlignment="1" applyBorder="1" applyFont="1">
      <alignment horizontal="center" shrinkToFit="0" vertical="center" wrapText="0"/>
    </xf>
    <xf borderId="1" fillId="8" fontId="10" numFmtId="0" xfId="0" applyAlignment="1" applyBorder="1" applyFont="1">
      <alignment shrinkToFit="0" vertical="center" wrapText="0"/>
    </xf>
    <xf borderId="1" fillId="8" fontId="11" numFmtId="0" xfId="0" applyAlignment="1" applyBorder="1" applyFont="1">
      <alignment shrinkToFit="0" vertical="center" wrapText="0"/>
    </xf>
    <xf borderId="1" fillId="8" fontId="10" numFmtId="165" xfId="0" applyAlignment="1" applyBorder="1" applyFont="1" applyNumberFormat="1">
      <alignment horizontal="right" shrinkToFit="0" vertical="center" wrapText="0"/>
    </xf>
    <xf borderId="1" fillId="5" fontId="12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5" fontId="13" numFmtId="165" xfId="0" applyAlignment="1" applyBorder="1" applyFont="1" applyNumberFormat="1">
      <alignment horizontal="right" shrinkToFit="0" vertical="center" wrapText="0"/>
    </xf>
    <xf borderId="1" fillId="5" fontId="13" numFmtId="164" xfId="0" applyAlignment="1" applyBorder="1" applyFont="1" applyNumberFormat="1">
      <alignment horizontal="right" shrinkToFit="0" vertical="center" wrapText="0"/>
    </xf>
    <xf borderId="1" fillId="8" fontId="14" numFmtId="0" xfId="0" applyAlignment="1" applyBorder="1" applyFont="1">
      <alignment shrinkToFit="0" vertical="center" wrapText="0"/>
    </xf>
    <xf borderId="1" fillId="8" fontId="3" numFmtId="165" xfId="0" applyAlignment="1" applyBorder="1" applyFont="1" applyNumberFormat="1">
      <alignment shrinkToFit="0" vertical="center" wrapText="0"/>
    </xf>
    <xf borderId="1" fillId="8" fontId="3" numFmtId="164" xfId="0" applyAlignment="1" applyBorder="1" applyFont="1" applyNumberFormat="1">
      <alignment shrinkToFit="0" vertical="center" wrapText="0"/>
    </xf>
    <xf borderId="1" fillId="5" fontId="15" numFmtId="0" xfId="0" applyAlignment="1" applyBorder="1" applyFont="1">
      <alignment horizontal="center" shrinkToFit="0" vertical="center" wrapText="0"/>
    </xf>
    <xf borderId="1" fillId="5" fontId="14" numFmtId="0" xfId="0" applyAlignment="1" applyBorder="1" applyFont="1">
      <alignment shrinkToFit="0" vertical="center" wrapText="0"/>
    </xf>
    <xf borderId="1" fillId="5" fontId="3" numFmtId="165" xfId="0" applyAlignment="1" applyBorder="1" applyFont="1" applyNumberFormat="1">
      <alignment shrinkToFit="0" vertical="center" wrapText="0"/>
    </xf>
    <xf borderId="1" fillId="5" fontId="3" numFmtId="164" xfId="0" applyAlignment="1" applyBorder="1" applyFont="1" applyNumberFormat="1">
      <alignment shrinkToFit="0" vertical="center" wrapText="0"/>
    </xf>
    <xf borderId="1" fillId="8" fontId="15" numFmtId="0" xfId="0" applyAlignment="1" applyBorder="1" applyFont="1">
      <alignment horizontal="center" shrinkToFit="0" vertical="center" wrapText="0"/>
    </xf>
    <xf borderId="1" fillId="8" fontId="13" numFmtId="165" xfId="0" applyAlignment="1" applyBorder="1" applyFont="1" applyNumberFormat="1">
      <alignment horizontal="right" shrinkToFit="0" vertical="center" wrapText="0"/>
    </xf>
    <xf borderId="1" fillId="8" fontId="13" numFmtId="164" xfId="0" applyAlignment="1" applyBorder="1" applyFont="1" applyNumberFormat="1">
      <alignment horizontal="right" shrinkToFit="0" vertical="center" wrapText="0"/>
    </xf>
    <xf borderId="1" fillId="8" fontId="10" numFmtId="0" xfId="0" applyAlignment="1" applyBorder="1" applyFont="1">
      <alignment horizontal="center" shrinkToFit="0" vertical="center" wrapText="0"/>
    </xf>
    <xf borderId="1" fillId="5" fontId="10" numFmtId="0" xfId="0" applyAlignment="1" applyBorder="1" applyFont="1">
      <alignment horizontal="center" shrinkToFit="0" vertical="center" wrapText="0"/>
    </xf>
    <xf borderId="1" fillId="5" fontId="10" numFmtId="165" xfId="0" applyAlignment="1" applyBorder="1" applyFont="1" applyNumberFormat="1">
      <alignment horizontal="center" readingOrder="0" shrinkToFit="0" vertical="center" wrapText="0"/>
    </xf>
    <xf borderId="1" fillId="5" fontId="15" numFmtId="0" xfId="0" applyAlignment="1" applyBorder="1" applyFont="1">
      <alignment readingOrder="0" shrinkToFit="0" vertical="center" wrapText="0"/>
    </xf>
    <xf borderId="1" fillId="5" fontId="10" numFmtId="0" xfId="0" applyAlignment="1" applyBorder="1" applyFont="1">
      <alignment readingOrder="0" shrinkToFit="0" vertical="center" wrapText="0"/>
    </xf>
    <xf borderId="1" fillId="5" fontId="11" numFmtId="0" xfId="0" applyAlignment="1" applyBorder="1" applyFont="1">
      <alignment readingOrder="0" shrinkToFit="0" vertical="center" wrapText="0"/>
    </xf>
    <xf borderId="1" fillId="5" fontId="3" numFmtId="165" xfId="0" applyAlignment="1" applyBorder="1" applyFont="1" applyNumberFormat="1">
      <alignment readingOrder="0" shrinkToFit="0" vertical="center" wrapText="0"/>
    </xf>
    <xf borderId="1" fillId="8" fontId="10" numFmtId="165" xfId="0" applyAlignment="1" applyBorder="1" applyFont="1" applyNumberFormat="1">
      <alignment horizontal="center" readingOrder="0" shrinkToFit="0" vertical="center" wrapText="0"/>
    </xf>
    <xf borderId="1" fillId="8" fontId="15" numFmtId="0" xfId="0" applyAlignment="1" applyBorder="1" applyFont="1">
      <alignment readingOrder="0" shrinkToFit="0" vertical="center" wrapText="0"/>
    </xf>
    <xf borderId="1" fillId="8" fontId="10" numFmtId="0" xfId="0" applyAlignment="1" applyBorder="1" applyFont="1">
      <alignment readingOrder="0" shrinkToFit="0" vertical="center" wrapText="0"/>
    </xf>
    <xf borderId="1" fillId="8" fontId="11" numFmtId="0" xfId="0" applyAlignment="1" applyBorder="1" applyFont="1">
      <alignment readingOrder="0" shrinkToFit="0" vertical="center" wrapText="0"/>
    </xf>
    <xf borderId="1" fillId="5" fontId="12" numFmtId="0" xfId="0" applyAlignment="1" applyBorder="1" applyFont="1">
      <alignment readingOrder="0" shrinkToFit="0" vertical="center" wrapText="0"/>
    </xf>
    <xf borderId="1" fillId="5" fontId="10" numFmtId="165" xfId="0" applyAlignment="1" applyBorder="1" applyFont="1" applyNumberFormat="1">
      <alignment horizontal="center" shrinkToFit="0" vertical="center" wrapText="0"/>
    </xf>
    <xf borderId="1" fillId="8" fontId="12" numFmtId="0" xfId="0" applyAlignment="1" applyBorder="1" applyFont="1">
      <alignment readingOrder="0" shrinkToFit="0" vertical="center" wrapText="0"/>
    </xf>
    <xf borderId="1" fillId="8" fontId="10" numFmtId="165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8" fontId="12" numFmtId="0" xfId="0" applyAlignment="1" applyBorder="1" applyFont="1">
      <alignment shrinkToFit="0" vertical="center" wrapText="0"/>
    </xf>
    <xf borderId="1" fillId="5" fontId="12" numFmtId="0" xfId="0" applyAlignment="1" applyBorder="1" applyFont="1">
      <alignment shrinkToFit="0" vertical="center" wrapText="0"/>
    </xf>
    <xf borderId="1" fillId="5" fontId="15" numFmtId="0" xfId="0" applyAlignment="1" applyBorder="1" applyFont="1">
      <alignment shrinkToFit="0" vertical="center" wrapText="0"/>
    </xf>
    <xf borderId="1" fillId="8" fontId="15" numFmtId="0" xfId="0" applyAlignment="1" applyBorder="1" applyFont="1">
      <alignment shrinkToFit="0" vertical="center" wrapText="0"/>
    </xf>
    <xf borderId="1" fillId="5" fontId="16" numFmtId="0" xfId="0" applyAlignment="1" applyBorder="1" applyFont="1">
      <alignment shrinkToFit="0" vertical="center" wrapText="0"/>
    </xf>
    <xf borderId="1" fillId="8" fontId="3" numFmtId="0" xfId="0" applyAlignment="1" applyBorder="1" applyFont="1">
      <alignment shrinkToFit="0" vertical="center" wrapText="0"/>
    </xf>
    <xf borderId="1" fillId="8" fontId="3" numFmtId="0" xfId="0" applyAlignment="1" applyBorder="1" applyFont="1">
      <alignment shrinkToFit="0" vertical="center" wrapText="0"/>
    </xf>
    <xf borderId="1" fillId="0" fontId="9" numFmtId="49" xfId="0" applyAlignment="1" applyBorder="1" applyFont="1" applyNumberFormat="1">
      <alignment horizontal="left" readingOrder="0" shrinkToFit="0" vertical="center" wrapText="0"/>
    </xf>
    <xf borderId="1" fillId="5" fontId="14" numFmtId="0" xfId="0" applyAlignment="1" applyBorder="1" applyFont="1">
      <alignment shrinkToFit="0" vertical="center" wrapText="0"/>
    </xf>
    <xf borderId="1" fillId="8" fontId="14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shrinkToFit="0" vertical="center" wrapText="0"/>
    </xf>
    <xf borderId="1" fillId="5" fontId="10" numFmtId="165" xfId="0" applyAlignment="1" applyBorder="1" applyFont="1" applyNumberFormat="1">
      <alignment horizontal="right" readingOrder="0" shrinkToFit="0" vertical="center" wrapText="0"/>
    </xf>
    <xf borderId="1" fillId="5" fontId="11" numFmtId="0" xfId="0" applyAlignment="1" applyBorder="1" applyFont="1">
      <alignment horizontal="center" readingOrder="0" shrinkToFit="0" vertical="center" wrapText="0"/>
    </xf>
    <xf borderId="1" fillId="8" fontId="10" numFmtId="165" xfId="0" applyAlignment="1" applyBorder="1" applyFont="1" applyNumberFormat="1">
      <alignment horizontal="right" readingOrder="0" shrinkToFit="0" vertical="center" wrapText="0"/>
    </xf>
    <xf borderId="1" fillId="8" fontId="11" numFmtId="0" xfId="0" applyAlignment="1" applyBorder="1" applyFont="1">
      <alignment horizontal="center" readingOrder="0" shrinkToFit="0" vertical="center" wrapText="0"/>
    </xf>
    <xf borderId="1" fillId="5" fontId="12" numFmtId="0" xfId="0" applyAlignment="1" applyBorder="1" applyFont="1">
      <alignment horizontal="center" readingOrder="0" shrinkToFit="0" vertical="center" wrapText="0"/>
    </xf>
    <xf borderId="1" fillId="8" fontId="1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8" fontId="3" numFmtId="0" xfId="0" applyAlignment="1" applyBorder="1" applyFont="1">
      <alignment readingOrder="0" shrinkToFit="0" vertical="center" wrapText="0"/>
    </xf>
    <xf borderId="1" fillId="5" fontId="13" numFmtId="165" xfId="0" applyAlignment="1" applyBorder="1" applyFont="1" applyNumberFormat="1">
      <alignment horizontal="right" readingOrder="0" shrinkToFit="0" vertical="center" wrapText="0"/>
    </xf>
    <xf borderId="2" fillId="5" fontId="10" numFmtId="0" xfId="0" applyAlignment="1" applyBorder="1" applyFont="1">
      <alignment readingOrder="0" shrinkToFit="0" vertical="center" wrapText="0"/>
    </xf>
    <xf borderId="1" fillId="8" fontId="3" numFmtId="165" xfId="0" applyAlignment="1" applyBorder="1" applyFont="1" applyNumberFormat="1">
      <alignment readingOrder="0" shrinkToFit="0" vertical="center" wrapText="0"/>
    </xf>
    <xf borderId="1" fillId="5" fontId="15" numFmtId="0" xfId="0" applyAlignment="1" applyBorder="1" applyFont="1">
      <alignment horizontal="center" readingOrder="0" shrinkToFit="0" vertical="center" wrapText="0"/>
    </xf>
    <xf borderId="1" fillId="5" fontId="14" numFmtId="0" xfId="0" applyAlignment="1" applyBorder="1" applyFont="1">
      <alignment readingOrder="0" shrinkToFit="0" vertical="center" wrapText="0"/>
    </xf>
    <xf borderId="1" fillId="8" fontId="15" numFmtId="0" xfId="0" applyAlignment="1" applyBorder="1" applyFont="1">
      <alignment horizontal="center" readingOrder="0" shrinkToFit="0" vertical="center" wrapText="0"/>
    </xf>
    <xf borderId="1" fillId="8" fontId="13" numFmtId="165" xfId="0" applyAlignment="1" applyBorder="1" applyFont="1" applyNumberForma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8" fontId="1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Test Analysis 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didate Apply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R 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b po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plica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ring Pip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tch analys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2000">
                <a:solidFill>
                  <a:srgbClr val="000000"/>
                </a:solidFill>
                <a:latin typeface="+mn-lt"/>
              </a:defRPr>
            </a:pPr>
            <a:r>
              <a:rPr b="1" i="1" sz="2000">
                <a:solidFill>
                  <a:srgbClr val="000000"/>
                </a:solidFill>
                <a:latin typeface="+mn-lt"/>
              </a:rPr>
              <a:t>TICKETS STACK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PASS</c:v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A4C2F4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('Test Analysis Dashboard'!$B$17:$B$21,'Test Analysis Dashboard'!$C$17:$C$21)</c:f>
              <c:numCache/>
            </c:numRef>
          </c:val>
        </c:ser>
        <c:overlap val="100"/>
        <c:axId val="1998779755"/>
        <c:axId val="2067654352"/>
      </c:barChart>
      <c:catAx>
        <c:axId val="1998779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654352"/>
      </c:catAx>
      <c:valAx>
        <c:axId val="2067654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77975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15</xdr:row>
      <xdr:rowOff>200025</xdr:rowOff>
    </xdr:from>
    <xdr:ext cx="5486400" cy="3390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904875</xdr:colOff>
      <xdr:row>16</xdr:row>
      <xdr:rowOff>142875</xdr:rowOff>
    </xdr:from>
    <xdr:ext cx="1323975" cy="419100"/>
    <xdr:sp>
      <xdr:nvSpPr>
        <xdr:cNvPr id="3" name="Shape 3"/>
        <xdr:cNvSpPr txBox="1"/>
      </xdr:nvSpPr>
      <xdr:spPr>
        <a:xfrm>
          <a:off x="3752250" y="944050"/>
          <a:ext cx="13077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Open tickets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22</xdr:row>
      <xdr:rowOff>38100</xdr:rowOff>
    </xdr:from>
    <xdr:ext cx="1762125" cy="542925"/>
    <xdr:sp>
      <xdr:nvSpPr>
        <xdr:cNvPr id="4" name="Shape 4"/>
        <xdr:cNvSpPr txBox="1"/>
      </xdr:nvSpPr>
      <xdr:spPr>
        <a:xfrm>
          <a:off x="2454450" y="1469125"/>
          <a:ext cx="1743600" cy="525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Completed T</a:t>
          </a:r>
          <a:r>
            <a:rPr lang="en-US" sz="1400"/>
            <a:t>ickets</a:t>
          </a:r>
          <a:endParaRPr sz="1400"/>
        </a:p>
      </xdr:txBody>
    </xdr:sp>
    <xdr:clientData fLocksWithSheet="0"/>
  </xdr:oneCellAnchor>
  <xdr:oneCellAnchor>
    <xdr:from>
      <xdr:col>1</xdr:col>
      <xdr:colOff>866775</xdr:colOff>
      <xdr:row>28</xdr:row>
      <xdr:rowOff>57150</xdr:rowOff>
    </xdr:from>
    <xdr:ext cx="1543050" cy="371475"/>
    <xdr:sp>
      <xdr:nvSpPr>
        <xdr:cNvPr id="5" name="Shape 5"/>
        <xdr:cNvSpPr txBox="1"/>
      </xdr:nvSpPr>
      <xdr:spPr>
        <a:xfrm>
          <a:off x="2821000" y="2697550"/>
          <a:ext cx="1565400" cy="356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Total Tickets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" displayName="Test_case_Analysis_" name="Test_case_Analysis_" id="1">
  <tableColumns count="5">
    <tableColumn name="Column 1" id="1"/>
    <tableColumn name="Open Tickets" id="2"/>
    <tableColumn name="Completed Tickets" id="3"/>
    <tableColumn name="Total Tickets" id="4"/>
    <tableColumn name="Tester" id="5"/>
  </tableColumns>
  <tableStyleInfo name="Test Analysis Dashboard-style" showColumnStripes="0" showFirstColumn="1" showLastColumn="1" showRowStripes="1"/>
</table>
</file>

<file path=xl/tables/table2.xml><?xml version="1.0" encoding="utf-8"?>
<table xmlns="http://schemas.openxmlformats.org/spreadsheetml/2006/main" ref="A1:J30" displayName="Dashboard" name="Dashboard" id="2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Dashboard-style" showColumnStripes="0" showFirstColumn="1" showLastColumn="1" showRowStripes="1"/>
</table>
</file>

<file path=xl/tables/table3.xml><?xml version="1.0" encoding="utf-8"?>
<table xmlns="http://schemas.openxmlformats.org/spreadsheetml/2006/main" ref="A1:J37" displayName="Candidate_Apply" name="Candidate_Apply" id="3">
  <tableColumns count="10">
    <tableColumn name="Date" id="1"/>
    <tableColumn name="Test Case_x000a_ID" id="2"/>
    <tableColumn name="Test Case _x000a_Type" id="3"/>
    <tableColumn name="Title" id="4"/>
    <tableColumn name="Steps to _x000a_Execute" id="5"/>
    <tableColumn name="Expected Value" id="6"/>
    <tableColumn name="Actual Value" id="7"/>
    <tableColumn name="Status" id="8"/>
    <tableColumn name="Bug  Date" id="9"/>
    <tableColumn name="Completed Date" id="10"/>
  </tableColumns>
  <tableStyleInfo name="Candidate Apply -style" showColumnStripes="0" showFirstColumn="1" showLastColumn="1" showRowStripes="1"/>
</table>
</file>

<file path=xl/tables/table4.xml><?xml version="1.0" encoding="utf-8"?>
<table xmlns="http://schemas.openxmlformats.org/spreadsheetml/2006/main" ref="A1:H15" displayName="HR_login" name="HR_login" id="4">
  <tableColumns count="8">
    <tableColumn name="Date" id="1"/>
    <tableColumn name="Test Case_x000a_ID" id="2"/>
    <tableColumn name="Test Case _x000a_Type" id="3"/>
    <tableColumn name="Steps to Execute" id="4"/>
    <tableColumn name="Expected Value" id="5"/>
    <tableColumn name="Actual Value" id="6"/>
    <tableColumn name="Bug date" id="7"/>
    <tableColumn name="Status" id="8"/>
  </tableColumns>
  <tableStyleInfo name="HR login-style" showColumnStripes="0" showFirstColumn="1" showLastColumn="1" showRowStripes="1"/>
</table>
</file>

<file path=xl/tables/table5.xml><?xml version="1.0" encoding="utf-8"?>
<table xmlns="http://schemas.openxmlformats.org/spreadsheetml/2006/main" ref="A1:J25" displayName="Job_posting" name="Job_posting" id="5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Job posting-style" showColumnStripes="0" showFirstColumn="1" showLastColumn="1" showRowStripes="1"/>
</table>
</file>

<file path=xl/tables/table6.xml><?xml version="1.0" encoding="utf-8"?>
<table xmlns="http://schemas.openxmlformats.org/spreadsheetml/2006/main" ref="A1:J33" displayName="Application" name="Application" id="6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Applications-style" showColumnStripes="0" showFirstColumn="1" showLastColumn="1" showRowStripes="1"/>
</table>
</file>

<file path=xl/tables/table7.xml><?xml version="1.0" encoding="utf-8"?>
<table xmlns="http://schemas.openxmlformats.org/spreadsheetml/2006/main" ref="A1:J21" displayName="Hiring_Pipeline" name="Hiring_Pipeline" id="7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Hiring Pipeline-style" showColumnStripes="0" showFirstColumn="1" showLastColumn="1" showRowStripes="1"/>
</table>
</file>

<file path=xl/tables/table8.xml><?xml version="1.0" encoding="utf-8"?>
<table xmlns="http://schemas.openxmlformats.org/spreadsheetml/2006/main" ref="A1:J30" displayName="Reports" name="Reports" id="8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Reports-style" showColumnStripes="0" showFirstColumn="1" showLastColumn="1" showRowStripes="1"/>
</table>
</file>

<file path=xl/tables/table9.xml><?xml version="1.0" encoding="utf-8"?>
<table xmlns="http://schemas.openxmlformats.org/spreadsheetml/2006/main" ref="A1:J30" displayName="Tickets" name="Tickets" id="9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Tickets-style" showColumnStripes="0" showFirstColumn="1" showLastColumn="1" showRowStripes="1"/>
</table>
</file>

<file path=xl/tables/table10.xml><?xml version="1.0" encoding="utf-8"?>
<table xmlns="http://schemas.openxmlformats.org/spreadsheetml/2006/main" ref="A1:J30" displayName="Batsh_analysis" name="Batsh_analysis" id="10">
  <tableColumns count="10">
    <tableColumn name="Date" id="1"/>
    <tableColumn name="Test Case_x000a_ID" id="2"/>
    <tableColumn name="Test Case _x000a_Type" id="3"/>
    <tableColumn name="Title" id="4"/>
    <tableColumn name="Steps to Execute" id="5"/>
    <tableColumn name="Expected Result" id="6"/>
    <tableColumn name="Actual Value" id="7"/>
    <tableColumn name="Status" id="8"/>
    <tableColumn name="Bug date" id="9"/>
    <tableColumn name="Completed Date" id="10"/>
  </tableColumns>
  <tableStyleInfo name="Batch analys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0.38"/>
    <col customWidth="1" min="3" max="3" width="19.63"/>
    <col customWidth="1" min="4" max="4" width="16.0"/>
    <col customWidth="1" min="8" max="8" width="12.13"/>
    <col customWidth="1" min="11" max="11" width="15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4</v>
      </c>
      <c r="H1" s="3" t="s">
        <v>5</v>
      </c>
      <c r="I1" s="3" t="str">
        <f t="shared" ref="I1:K1" si="1">A1</f>
        <v>Column 1</v>
      </c>
      <c r="J1" s="3" t="str">
        <f t="shared" si="1"/>
        <v>Open Tickets</v>
      </c>
      <c r="K1" s="3" t="str">
        <f t="shared" si="1"/>
        <v>Completed Tickets</v>
      </c>
      <c r="L1" s="4"/>
    </row>
    <row r="2" ht="22.5" customHeight="1">
      <c r="A2" s="5" t="s">
        <v>6</v>
      </c>
      <c r="B2" s="6"/>
      <c r="C2" s="6"/>
      <c r="D2" s="6"/>
      <c r="E2" s="7" t="s">
        <v>7</v>
      </c>
      <c r="G2" s="8" t="str">
        <f t="array" ref="G2:G5">UNIQUE(E2:E16)</f>
        <v>Dharani</v>
      </c>
      <c r="H2" s="8">
        <f t="shared" ref="H2:H4" si="2">COUNTIF(E2:E16,G2)</f>
        <v>2</v>
      </c>
      <c r="I2" s="9"/>
      <c r="J2" s="9"/>
      <c r="K2" s="9"/>
    </row>
    <row r="3" ht="22.5" customHeight="1">
      <c r="A3" s="10" t="s">
        <v>8</v>
      </c>
      <c r="B3" s="6">
        <f>COUNTIF('Candidate Apply '!H:H, "*Fail*")</f>
        <v>5</v>
      </c>
      <c r="C3" s="11">
        <f>COUNTIF('Candidate Apply '!H:H, "Pass")</f>
        <v>4</v>
      </c>
      <c r="D3" s="12">
        <f t="shared" ref="D3:D5" si="3">B3+C3</f>
        <v>9</v>
      </c>
      <c r="E3" s="13" t="s">
        <v>9</v>
      </c>
      <c r="G3" s="8" t="s">
        <v>9</v>
      </c>
      <c r="H3" s="8">
        <f t="shared" si="2"/>
        <v>4</v>
      </c>
      <c r="I3" s="9"/>
      <c r="J3" s="9"/>
      <c r="K3" s="9"/>
    </row>
    <row r="4" ht="22.5" customHeight="1">
      <c r="A4" s="10" t="s">
        <v>10</v>
      </c>
      <c r="B4" s="6">
        <f>COUNTIF('Job posting'!H:H, "*Fail*")</f>
        <v>14</v>
      </c>
      <c r="C4" s="6">
        <f>COUNTIF('Job posting'!H:H, "*pass*")</f>
        <v>10</v>
      </c>
      <c r="D4" s="14">
        <f t="shared" si="3"/>
        <v>24</v>
      </c>
      <c r="E4" s="7" t="s">
        <v>9</v>
      </c>
      <c r="G4" s="9" t="s">
        <v>11</v>
      </c>
      <c r="H4" s="8">
        <f t="shared" si="2"/>
        <v>3</v>
      </c>
      <c r="I4" s="9"/>
      <c r="J4" s="9"/>
      <c r="K4" s="9"/>
    </row>
    <row r="5" ht="22.5" customHeight="1">
      <c r="A5" s="10" t="s">
        <v>12</v>
      </c>
      <c r="B5" s="6">
        <f>COUNTIF(Applications!H:H, "*Fail*")</f>
        <v>6</v>
      </c>
      <c r="C5" s="6">
        <f>COUNTIF(Applications!H:H, "*Pass*")</f>
        <v>5</v>
      </c>
      <c r="D5" s="6">
        <f t="shared" si="3"/>
        <v>11</v>
      </c>
      <c r="E5" s="7" t="s">
        <v>9</v>
      </c>
      <c r="G5" s="15"/>
    </row>
    <row r="6" ht="22.5" customHeight="1">
      <c r="A6" s="10" t="s">
        <v>13</v>
      </c>
      <c r="B6" s="6"/>
      <c r="C6" s="6"/>
      <c r="D6" s="6"/>
      <c r="E6" s="7" t="s">
        <v>9</v>
      </c>
    </row>
    <row r="7" ht="22.5" customHeight="1">
      <c r="A7" s="10" t="s">
        <v>14</v>
      </c>
      <c r="B7" s="6"/>
      <c r="C7" s="6"/>
      <c r="D7" s="6"/>
      <c r="E7" s="7" t="s">
        <v>7</v>
      </c>
    </row>
    <row r="8" ht="22.5" customHeight="1">
      <c r="A8" s="10" t="s">
        <v>15</v>
      </c>
      <c r="B8" s="6"/>
      <c r="C8" s="6"/>
      <c r="D8" s="6"/>
      <c r="E8" s="7" t="s">
        <v>11</v>
      </c>
      <c r="I8" s="9"/>
    </row>
    <row r="9" ht="22.5" customHeight="1">
      <c r="A9" s="10" t="s">
        <v>16</v>
      </c>
      <c r="B9" s="6"/>
      <c r="C9" s="6"/>
      <c r="D9" s="6"/>
      <c r="E9" s="7" t="s">
        <v>11</v>
      </c>
    </row>
    <row r="10" ht="22.5" customHeight="1">
      <c r="A10" s="10" t="s">
        <v>17</v>
      </c>
      <c r="B10" s="6"/>
      <c r="C10" s="6"/>
      <c r="D10" s="6"/>
      <c r="E10" s="7" t="s">
        <v>11</v>
      </c>
    </row>
    <row r="17">
      <c r="B17" s="16">
        <f>SUM(B1:B10)</f>
        <v>25</v>
      </c>
    </row>
    <row r="21">
      <c r="N21" s="17" t="s">
        <v>18</v>
      </c>
    </row>
    <row r="22">
      <c r="B22" s="18"/>
      <c r="C22" s="18"/>
    </row>
    <row r="23">
      <c r="B23" s="19">
        <f>SUM(C1:C10)</f>
        <v>19</v>
      </c>
    </row>
    <row r="29">
      <c r="B29" s="20">
        <f>SUM(Test_case_Analysis_[Total Tickets])</f>
        <v>44</v>
      </c>
    </row>
  </sheetData>
  <mergeCells count="3">
    <mergeCell ref="B17:C21"/>
    <mergeCell ref="B23:C26"/>
    <mergeCell ref="B29:C32"/>
  </mergeCells>
  <dataValidations>
    <dataValidation type="list" allowBlank="1" sqref="E2:E10">
      <formula1>"surya,Dharani,Dinesh"</formula1>
    </dataValidation>
    <dataValidation type="custom" allowBlank="1" showDropDown="1" sqref="B2:D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26"/>
      <c r="B2" s="27" t="s">
        <v>29</v>
      </c>
      <c r="C2" s="28"/>
      <c r="D2" s="29"/>
      <c r="E2" s="29"/>
      <c r="F2" s="29"/>
      <c r="G2" s="29"/>
      <c r="H2" s="30"/>
      <c r="I2" s="31"/>
      <c r="J2" s="26"/>
    </row>
    <row r="3" ht="22.5" customHeight="1">
      <c r="A3" s="32"/>
      <c r="B3" s="27" t="s">
        <v>30</v>
      </c>
      <c r="C3" s="33"/>
      <c r="D3" s="34"/>
      <c r="E3" s="34"/>
      <c r="F3" s="34"/>
      <c r="G3" s="34"/>
      <c r="H3" s="35"/>
      <c r="I3" s="36"/>
      <c r="J3" s="32"/>
    </row>
    <row r="4" ht="22.5" customHeight="1">
      <c r="A4" s="26"/>
      <c r="B4" s="27" t="s">
        <v>31</v>
      </c>
      <c r="C4" s="37"/>
      <c r="D4" s="29"/>
      <c r="E4" s="29"/>
      <c r="F4" s="29"/>
      <c r="G4" s="29"/>
      <c r="H4" s="30"/>
      <c r="I4" s="31"/>
      <c r="J4" s="26"/>
    </row>
    <row r="5" ht="22.5" customHeight="1">
      <c r="A5" s="32"/>
      <c r="B5" s="27" t="s">
        <v>32</v>
      </c>
      <c r="C5" s="38"/>
      <c r="D5" s="34"/>
      <c r="E5" s="34"/>
      <c r="F5" s="34"/>
      <c r="G5" s="34"/>
      <c r="H5" s="35"/>
      <c r="I5" s="36"/>
      <c r="J5" s="32"/>
    </row>
    <row r="6" ht="22.5" customHeight="1">
      <c r="A6" s="26"/>
      <c r="B6" s="27" t="s">
        <v>33</v>
      </c>
      <c r="C6" s="37"/>
      <c r="D6" s="29"/>
      <c r="E6" s="29"/>
      <c r="F6" s="29"/>
      <c r="G6" s="29"/>
      <c r="H6" s="30"/>
      <c r="I6" s="39"/>
      <c r="J6" s="40"/>
    </row>
    <row r="7" ht="22.5" customHeight="1">
      <c r="A7" s="32"/>
      <c r="B7" s="27" t="s">
        <v>34</v>
      </c>
      <c r="C7" s="38"/>
      <c r="D7" s="34"/>
      <c r="E7" s="34"/>
      <c r="F7" s="34"/>
      <c r="G7" s="34"/>
      <c r="H7" s="41"/>
      <c r="I7" s="42"/>
      <c r="J7" s="43"/>
    </row>
    <row r="8" ht="22.5" customHeight="1">
      <c r="A8" s="26"/>
      <c r="B8" s="27" t="s">
        <v>35</v>
      </c>
      <c r="C8" s="44"/>
      <c r="D8" s="29"/>
      <c r="E8" s="29"/>
      <c r="F8" s="29"/>
      <c r="G8" s="29"/>
      <c r="H8" s="45"/>
      <c r="I8" s="46"/>
      <c r="J8" s="47"/>
    </row>
    <row r="9" ht="22.5" customHeight="1">
      <c r="A9" s="32"/>
      <c r="B9" s="27" t="s">
        <v>36</v>
      </c>
      <c r="C9" s="48"/>
      <c r="D9" s="34"/>
      <c r="E9" s="34"/>
      <c r="F9" s="34"/>
      <c r="G9" s="34"/>
      <c r="H9" s="35"/>
      <c r="I9" s="49"/>
      <c r="J9" s="50"/>
    </row>
    <row r="10" ht="22.5" customHeight="1">
      <c r="A10" s="26"/>
      <c r="B10" s="27" t="s">
        <v>37</v>
      </c>
      <c r="C10" s="44"/>
      <c r="D10" s="29"/>
      <c r="E10" s="29"/>
      <c r="F10" s="29"/>
      <c r="G10" s="29"/>
      <c r="H10" s="45"/>
      <c r="I10" s="46"/>
      <c r="J10" s="47"/>
    </row>
    <row r="11" ht="22.5" customHeight="1">
      <c r="A11" s="32"/>
      <c r="B11" s="27" t="s">
        <v>38</v>
      </c>
      <c r="C11" s="48"/>
      <c r="D11" s="34"/>
      <c r="E11" s="34"/>
      <c r="F11" s="34"/>
      <c r="G11" s="34"/>
      <c r="H11" s="41"/>
      <c r="I11" s="42"/>
      <c r="J11" s="43"/>
    </row>
    <row r="12" ht="22.5" customHeight="1">
      <c r="A12" s="26"/>
      <c r="B12" s="27" t="s">
        <v>39</v>
      </c>
      <c r="C12" s="44"/>
      <c r="D12" s="29"/>
      <c r="E12" s="29"/>
      <c r="F12" s="29"/>
      <c r="G12" s="29"/>
      <c r="H12" s="45"/>
      <c r="I12" s="46"/>
      <c r="J12" s="47"/>
    </row>
    <row r="13" ht="22.5" customHeight="1">
      <c r="A13" s="32"/>
      <c r="B13" s="27" t="s">
        <v>40</v>
      </c>
      <c r="C13" s="48"/>
      <c r="D13" s="34"/>
      <c r="E13" s="34"/>
      <c r="F13" s="34"/>
      <c r="G13" s="34"/>
      <c r="H13" s="41"/>
      <c r="I13" s="42"/>
      <c r="J13" s="43"/>
    </row>
    <row r="14" ht="22.5" customHeight="1">
      <c r="A14" s="26"/>
      <c r="B14" s="27" t="s">
        <v>41</v>
      </c>
      <c r="C14" s="37"/>
      <c r="D14" s="29"/>
      <c r="E14" s="29"/>
      <c r="F14" s="29"/>
      <c r="G14" s="29"/>
      <c r="H14" s="30"/>
      <c r="I14" s="31"/>
      <c r="J14" s="26"/>
    </row>
    <row r="15" ht="22.5" customHeight="1">
      <c r="A15" s="32"/>
      <c r="B15" s="27" t="s">
        <v>42</v>
      </c>
      <c r="C15" s="38"/>
      <c r="D15" s="34"/>
      <c r="E15" s="34"/>
      <c r="F15" s="34"/>
      <c r="G15" s="34"/>
      <c r="H15" s="35"/>
      <c r="I15" s="36"/>
      <c r="J15" s="32"/>
    </row>
    <row r="16" ht="22.5" customHeight="1">
      <c r="A16" s="26"/>
      <c r="B16" s="27" t="s">
        <v>43</v>
      </c>
      <c r="C16" s="28"/>
      <c r="D16" s="29"/>
      <c r="E16" s="29"/>
      <c r="F16" s="29"/>
      <c r="G16" s="29"/>
      <c r="H16" s="30"/>
      <c r="I16" s="31"/>
      <c r="J16" s="26"/>
    </row>
    <row r="17" ht="22.5" customHeight="1">
      <c r="A17" s="32"/>
      <c r="B17" s="27" t="s">
        <v>44</v>
      </c>
      <c r="C17" s="33"/>
      <c r="D17" s="34"/>
      <c r="E17" s="34"/>
      <c r="F17" s="34"/>
      <c r="G17" s="34"/>
      <c r="H17" s="35"/>
      <c r="I17" s="36"/>
      <c r="J17" s="32"/>
    </row>
    <row r="18" ht="22.5" customHeight="1">
      <c r="A18" s="26"/>
      <c r="B18" s="27" t="s">
        <v>45</v>
      </c>
      <c r="C18" s="28"/>
      <c r="D18" s="29"/>
      <c r="E18" s="29"/>
      <c r="F18" s="29"/>
      <c r="G18" s="29"/>
      <c r="H18" s="30"/>
      <c r="I18" s="31"/>
      <c r="J18" s="26"/>
    </row>
    <row r="19" ht="22.5" customHeight="1">
      <c r="A19" s="32"/>
      <c r="B19" s="51"/>
      <c r="C19" s="33"/>
      <c r="D19" s="34"/>
      <c r="E19" s="34"/>
      <c r="F19" s="34"/>
      <c r="G19" s="34"/>
      <c r="H19" s="35"/>
      <c r="I19" s="36"/>
      <c r="J19" s="32"/>
    </row>
    <row r="20" ht="22.5" customHeight="1">
      <c r="A20" s="26"/>
      <c r="B20" s="52"/>
      <c r="C20" s="28"/>
      <c r="D20" s="29"/>
      <c r="E20" s="29"/>
      <c r="F20" s="29"/>
      <c r="G20" s="29"/>
      <c r="H20" s="30"/>
      <c r="I20" s="31"/>
      <c r="J20" s="26"/>
    </row>
    <row r="21" ht="22.5" customHeight="1">
      <c r="A21" s="32"/>
      <c r="B21" s="51"/>
      <c r="C21" s="33"/>
      <c r="D21" s="34"/>
      <c r="E21" s="34"/>
      <c r="F21" s="34"/>
      <c r="G21" s="34"/>
      <c r="H21" s="41"/>
      <c r="I21" s="42"/>
      <c r="J21" s="43"/>
    </row>
    <row r="22" ht="22.5" customHeight="1">
      <c r="A22" s="26"/>
      <c r="B22" s="52"/>
      <c r="C22" s="28"/>
      <c r="D22" s="29"/>
      <c r="E22" s="29"/>
      <c r="F22" s="29"/>
      <c r="G22" s="29"/>
      <c r="H22" s="30"/>
      <c r="I22" s="31"/>
      <c r="J22" s="26"/>
    </row>
    <row r="23" ht="22.5" customHeight="1">
      <c r="A23" s="32"/>
      <c r="B23" s="51"/>
      <c r="C23" s="33"/>
      <c r="D23" s="34"/>
      <c r="E23" s="34"/>
      <c r="F23" s="34"/>
      <c r="G23" s="34"/>
      <c r="H23" s="35"/>
      <c r="I23" s="36"/>
      <c r="J23" s="32"/>
    </row>
    <row r="24" ht="22.5" customHeight="1">
      <c r="A24" s="26"/>
      <c r="B24" s="52"/>
      <c r="C24" s="28"/>
      <c r="D24" s="29"/>
      <c r="E24" s="29"/>
      <c r="F24" s="29"/>
      <c r="G24" s="29"/>
      <c r="H24" s="45"/>
      <c r="I24" s="46"/>
      <c r="J24" s="47"/>
    </row>
    <row r="25" ht="22.5" customHeight="1">
      <c r="A25" s="32"/>
      <c r="B25" s="51"/>
      <c r="C25" s="33"/>
      <c r="D25" s="34"/>
      <c r="E25" s="34"/>
      <c r="F25" s="34"/>
      <c r="G25" s="34"/>
      <c r="H25" s="41"/>
      <c r="I25" s="42"/>
      <c r="J25" s="43"/>
    </row>
    <row r="26" ht="22.5" customHeight="1">
      <c r="A26" s="26"/>
      <c r="B26" s="52"/>
      <c r="C26" s="28"/>
      <c r="D26" s="29"/>
      <c r="E26" s="29"/>
      <c r="F26" s="29"/>
      <c r="G26" s="29"/>
      <c r="H26" s="45"/>
      <c r="I26" s="46"/>
      <c r="J26" s="47"/>
    </row>
    <row r="27" ht="22.5" customHeight="1">
      <c r="A27" s="32"/>
      <c r="B27" s="51"/>
      <c r="C27" s="33"/>
      <c r="D27" s="34"/>
      <c r="E27" s="34"/>
      <c r="F27" s="34"/>
      <c r="G27" s="34"/>
      <c r="H27" s="41"/>
      <c r="I27" s="42"/>
      <c r="J27" s="43"/>
    </row>
    <row r="28" ht="22.5" customHeight="1">
      <c r="A28" s="26"/>
      <c r="B28" s="52"/>
      <c r="C28" s="28"/>
      <c r="D28" s="29"/>
      <c r="E28" s="29"/>
      <c r="F28" s="29"/>
      <c r="G28" s="29"/>
      <c r="H28" s="30"/>
      <c r="I28" s="31"/>
      <c r="J28" s="26"/>
    </row>
    <row r="29" ht="22.5" customHeight="1">
      <c r="A29" s="32"/>
      <c r="B29" s="51"/>
      <c r="C29" s="33"/>
      <c r="D29" s="34"/>
      <c r="E29" s="34"/>
      <c r="F29" s="34"/>
      <c r="G29" s="34"/>
      <c r="H29" s="35"/>
      <c r="I29" s="36"/>
      <c r="J29" s="32"/>
    </row>
    <row r="30" ht="22.5" customHeight="1">
      <c r="A30" s="26"/>
      <c r="B30" s="52"/>
      <c r="C30" s="28"/>
      <c r="D30" s="29"/>
      <c r="E30" s="29"/>
      <c r="F30" s="29"/>
      <c r="G30" s="29"/>
      <c r="H30" s="45"/>
      <c r="I30" s="46"/>
      <c r="J30" s="47"/>
    </row>
  </sheetData>
  <dataValidations>
    <dataValidation type="custom" allowBlank="1" showDropDown="1" sqref="A2:A30 J2:J30">
      <formula1>OR(NOT(ISERROR(DATEVALUE(A2))), AND(ISNUMBER(A2), LEFT(CELL("format", A2))="D"))</formula1>
    </dataValidation>
    <dataValidation type="list" allowBlank="1" sqref="H2:H30">
      <formula1>"Pass,Fail,-"</formula1>
    </dataValidation>
    <dataValidation type="list" allowBlank="1" sqref="C2:C30">
      <formula1>"Positive ,Negative,Functionality,UI/UX,Security"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6.75"/>
    <col customWidth="1" min="5" max="5" width="59.13"/>
    <col customWidth="1" min="6" max="6" width="57.38"/>
    <col customWidth="1" min="7" max="7" width="48.25"/>
    <col customWidth="1" min="8" max="8" width="21.0"/>
    <col customWidth="1" min="9" max="9" width="28.38"/>
    <col customWidth="1" min="10" max="10" width="21.63"/>
  </cols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46</v>
      </c>
      <c r="F1" s="23" t="s">
        <v>47</v>
      </c>
      <c r="G1" s="24" t="s">
        <v>25</v>
      </c>
      <c r="H1" s="23" t="s">
        <v>26</v>
      </c>
      <c r="I1" s="23" t="s">
        <v>48</v>
      </c>
      <c r="J1" s="25" t="s">
        <v>28</v>
      </c>
    </row>
    <row r="2" ht="22.5" customHeight="1">
      <c r="A2" s="53">
        <v>46107.0</v>
      </c>
      <c r="B2" s="27" t="s">
        <v>49</v>
      </c>
      <c r="C2" s="54" t="s">
        <v>50</v>
      </c>
      <c r="D2" s="55" t="s">
        <v>51</v>
      </c>
      <c r="E2" s="55" t="s">
        <v>52</v>
      </c>
      <c r="F2" s="55" t="s">
        <v>53</v>
      </c>
      <c r="G2" s="55" t="s">
        <v>54</v>
      </c>
      <c r="H2" s="56" t="s">
        <v>55</v>
      </c>
      <c r="I2" s="57"/>
      <c r="J2" s="53">
        <v>46107.0</v>
      </c>
    </row>
    <row r="3" ht="22.5" customHeight="1">
      <c r="A3" s="58">
        <v>46107.0</v>
      </c>
      <c r="B3" s="27" t="s">
        <v>56</v>
      </c>
      <c r="C3" s="59" t="s">
        <v>50</v>
      </c>
      <c r="D3" s="60" t="s">
        <v>57</v>
      </c>
      <c r="E3" s="60" t="s">
        <v>58</v>
      </c>
      <c r="F3" s="60" t="s">
        <v>59</v>
      </c>
      <c r="G3" s="60" t="s">
        <v>60</v>
      </c>
      <c r="H3" s="61" t="s">
        <v>55</v>
      </c>
      <c r="I3" s="42"/>
      <c r="J3" s="58">
        <v>46107.0</v>
      </c>
    </row>
    <row r="4" ht="22.5" customHeight="1">
      <c r="A4" s="53">
        <v>46107.0</v>
      </c>
      <c r="B4" s="27" t="s">
        <v>61</v>
      </c>
      <c r="C4" s="62" t="s">
        <v>50</v>
      </c>
      <c r="D4" s="55" t="s">
        <v>62</v>
      </c>
      <c r="E4" s="55" t="s">
        <v>63</v>
      </c>
      <c r="F4" s="55" t="s">
        <v>64</v>
      </c>
      <c r="G4" s="55" t="s">
        <v>65</v>
      </c>
      <c r="H4" s="56" t="s">
        <v>66</v>
      </c>
      <c r="I4" s="57">
        <v>46107.0</v>
      </c>
      <c r="J4" s="63"/>
    </row>
    <row r="5" ht="22.5" customHeight="1">
      <c r="A5" s="58">
        <v>46107.0</v>
      </c>
      <c r="B5" s="27" t="s">
        <v>67</v>
      </c>
      <c r="C5" s="64" t="s">
        <v>50</v>
      </c>
      <c r="D5" s="60" t="s">
        <v>68</v>
      </c>
      <c r="E5" s="60" t="s">
        <v>69</v>
      </c>
      <c r="F5" s="60" t="s">
        <v>70</v>
      </c>
      <c r="G5" s="60" t="s">
        <v>71</v>
      </c>
      <c r="H5" s="61" t="s">
        <v>66</v>
      </c>
      <c r="I5" s="57">
        <v>46107.0</v>
      </c>
      <c r="J5" s="65"/>
    </row>
    <row r="6" ht="22.5" customHeight="1">
      <c r="A6" s="53">
        <v>46107.0</v>
      </c>
      <c r="B6" s="27" t="s">
        <v>72</v>
      </c>
      <c r="C6" s="62" t="s">
        <v>50</v>
      </c>
      <c r="D6" s="55" t="s">
        <v>73</v>
      </c>
      <c r="E6" s="55" t="s">
        <v>74</v>
      </c>
      <c r="F6" s="55" t="s">
        <v>75</v>
      </c>
      <c r="G6" s="55" t="s">
        <v>76</v>
      </c>
      <c r="H6" s="56" t="s">
        <v>55</v>
      </c>
      <c r="I6" s="46"/>
      <c r="J6" s="53">
        <v>46107.0</v>
      </c>
    </row>
    <row r="7" ht="22.5" customHeight="1">
      <c r="A7" s="58">
        <v>46107.0</v>
      </c>
      <c r="B7" s="27" t="s">
        <v>77</v>
      </c>
      <c r="C7" s="64" t="s">
        <v>50</v>
      </c>
      <c r="D7" s="60" t="s">
        <v>78</v>
      </c>
      <c r="E7" s="60" t="s">
        <v>79</v>
      </c>
      <c r="F7" s="60" t="s">
        <v>80</v>
      </c>
      <c r="G7" s="66" t="s">
        <v>81</v>
      </c>
      <c r="H7" s="61" t="s">
        <v>55</v>
      </c>
      <c r="I7" s="42"/>
      <c r="J7" s="58">
        <v>46107.0</v>
      </c>
    </row>
    <row r="8" ht="22.5" customHeight="1">
      <c r="A8" s="53">
        <v>46107.0</v>
      </c>
      <c r="B8" s="27" t="s">
        <v>82</v>
      </c>
      <c r="C8" s="62" t="s">
        <v>50</v>
      </c>
      <c r="D8" s="55" t="s">
        <v>83</v>
      </c>
      <c r="E8" s="55" t="s">
        <v>84</v>
      </c>
      <c r="F8" s="55" t="s">
        <v>85</v>
      </c>
      <c r="G8" s="55" t="s">
        <v>86</v>
      </c>
      <c r="H8" s="56" t="s">
        <v>66</v>
      </c>
      <c r="I8" s="57">
        <v>46107.0</v>
      </c>
      <c r="J8" s="63"/>
    </row>
    <row r="9" ht="22.5" customHeight="1">
      <c r="A9" s="58">
        <v>46107.0</v>
      </c>
      <c r="B9" s="27" t="s">
        <v>87</v>
      </c>
      <c r="C9" s="64" t="s">
        <v>50</v>
      </c>
      <c r="D9" s="60" t="s">
        <v>88</v>
      </c>
      <c r="E9" s="60" t="s">
        <v>89</v>
      </c>
      <c r="F9" s="60" t="s">
        <v>90</v>
      </c>
      <c r="G9" s="60" t="s">
        <v>91</v>
      </c>
      <c r="H9" s="61" t="s">
        <v>66</v>
      </c>
      <c r="I9" s="57">
        <v>46107.0</v>
      </c>
      <c r="J9" s="65"/>
    </row>
    <row r="10" ht="22.5" customHeight="1">
      <c r="A10" s="53">
        <v>46107.0</v>
      </c>
      <c r="B10" s="27" t="s">
        <v>92</v>
      </c>
      <c r="C10" s="62" t="s">
        <v>50</v>
      </c>
      <c r="D10" s="55" t="s">
        <v>93</v>
      </c>
      <c r="E10" s="55" t="s">
        <v>94</v>
      </c>
      <c r="F10" s="55" t="s">
        <v>95</v>
      </c>
      <c r="G10" s="55" t="s">
        <v>96</v>
      </c>
      <c r="H10" s="56" t="s">
        <v>66</v>
      </c>
      <c r="I10" s="57">
        <v>46107.0</v>
      </c>
      <c r="J10" s="63"/>
    </row>
    <row r="11" ht="22.5" customHeight="1">
      <c r="A11" s="58"/>
      <c r="B11" s="27"/>
      <c r="C11" s="64"/>
      <c r="D11" s="60"/>
      <c r="E11" s="60"/>
      <c r="F11" s="60"/>
      <c r="G11" s="60"/>
      <c r="H11" s="61"/>
      <c r="I11" s="42"/>
      <c r="J11" s="58"/>
    </row>
    <row r="12" ht="22.5" customHeight="1">
      <c r="A12" s="53"/>
      <c r="B12" s="27"/>
      <c r="C12" s="62"/>
      <c r="D12" s="55"/>
      <c r="E12" s="55"/>
      <c r="F12" s="55"/>
      <c r="G12" s="55"/>
      <c r="H12" s="56"/>
      <c r="I12" s="46"/>
      <c r="J12" s="63"/>
    </row>
    <row r="13" ht="22.5" customHeight="1">
      <c r="A13" s="58"/>
      <c r="B13" s="27"/>
      <c r="C13" s="64"/>
      <c r="D13" s="60"/>
      <c r="E13" s="60"/>
      <c r="F13" s="60"/>
      <c r="G13" s="60"/>
      <c r="H13" s="61"/>
      <c r="I13" s="42"/>
      <c r="J13" s="65"/>
    </row>
    <row r="14" ht="22.5" customHeight="1">
      <c r="A14" s="53"/>
      <c r="B14" s="27"/>
      <c r="C14" s="62"/>
      <c r="D14" s="55"/>
      <c r="E14" s="55"/>
      <c r="F14" s="55"/>
      <c r="G14" s="55"/>
      <c r="H14" s="56"/>
      <c r="I14" s="46"/>
      <c r="J14" s="63"/>
    </row>
    <row r="15" ht="22.5" customHeight="1">
      <c r="A15" s="58"/>
      <c r="B15" s="27"/>
      <c r="C15" s="64"/>
      <c r="D15" s="60"/>
      <c r="E15" s="60"/>
      <c r="F15" s="60"/>
      <c r="G15" s="60"/>
      <c r="H15" s="61"/>
      <c r="I15" s="42"/>
      <c r="J15" s="65"/>
    </row>
    <row r="16" ht="22.5" customHeight="1">
      <c r="A16" s="53"/>
      <c r="B16" s="27"/>
      <c r="C16" s="62"/>
      <c r="D16" s="55"/>
      <c r="E16" s="55"/>
      <c r="F16" s="55"/>
      <c r="G16" s="55"/>
      <c r="H16" s="56"/>
      <c r="I16" s="46"/>
      <c r="J16" s="63"/>
    </row>
    <row r="17" ht="22.5" customHeight="1">
      <c r="A17" s="65"/>
      <c r="B17" s="51"/>
      <c r="C17" s="67"/>
      <c r="D17" s="34"/>
      <c r="E17" s="34"/>
      <c r="F17" s="34"/>
      <c r="G17" s="34"/>
      <c r="H17" s="35"/>
      <c r="I17" s="42"/>
      <c r="J17" s="65"/>
    </row>
    <row r="18" ht="22.5" customHeight="1">
      <c r="A18" s="63"/>
      <c r="B18" s="52"/>
      <c r="C18" s="68"/>
      <c r="D18" s="29"/>
      <c r="E18" s="29"/>
      <c r="F18" s="29"/>
      <c r="G18" s="29"/>
      <c r="H18" s="30"/>
      <c r="I18" s="46"/>
      <c r="J18" s="63"/>
    </row>
    <row r="19" ht="22.5" customHeight="1">
      <c r="A19" s="65"/>
      <c r="B19" s="51"/>
      <c r="C19" s="67"/>
      <c r="D19" s="34"/>
      <c r="E19" s="34"/>
      <c r="F19" s="34"/>
      <c r="G19" s="34"/>
      <c r="H19" s="35"/>
      <c r="I19" s="42"/>
      <c r="J19" s="65"/>
    </row>
    <row r="20" ht="22.5" customHeight="1">
      <c r="A20" s="63"/>
      <c r="B20" s="52"/>
      <c r="C20" s="68"/>
      <c r="D20" s="29"/>
      <c r="E20" s="29"/>
      <c r="F20" s="29"/>
      <c r="G20" s="29"/>
      <c r="H20" s="30"/>
      <c r="I20" s="46"/>
      <c r="J20" s="63"/>
    </row>
    <row r="21" ht="22.5" customHeight="1">
      <c r="A21" s="65"/>
      <c r="B21" s="51"/>
      <c r="C21" s="67"/>
      <c r="D21" s="34"/>
      <c r="E21" s="34"/>
      <c r="F21" s="34"/>
      <c r="G21" s="34"/>
      <c r="H21" s="35"/>
      <c r="I21" s="42"/>
      <c r="J21" s="65"/>
    </row>
    <row r="22" ht="22.5" customHeight="1">
      <c r="A22" s="63"/>
      <c r="B22" s="52"/>
      <c r="C22" s="68"/>
      <c r="D22" s="29"/>
      <c r="E22" s="29"/>
      <c r="F22" s="29"/>
      <c r="G22" s="29"/>
      <c r="H22" s="30"/>
      <c r="I22" s="46"/>
      <c r="J22" s="63"/>
    </row>
    <row r="23" ht="22.5" customHeight="1">
      <c r="A23" s="65"/>
      <c r="B23" s="51"/>
      <c r="C23" s="67"/>
      <c r="D23" s="34"/>
      <c r="E23" s="34"/>
      <c r="F23" s="34"/>
      <c r="G23" s="34"/>
      <c r="H23" s="35"/>
      <c r="I23" s="42"/>
      <c r="J23" s="65"/>
    </row>
    <row r="24" ht="22.5" customHeight="1">
      <c r="A24" s="63"/>
      <c r="B24" s="52"/>
      <c r="C24" s="68"/>
      <c r="D24" s="29"/>
      <c r="E24" s="29"/>
      <c r="F24" s="29"/>
      <c r="G24" s="29"/>
      <c r="H24" s="30"/>
      <c r="I24" s="46"/>
      <c r="J24" s="63"/>
    </row>
    <row r="25" ht="22.5" customHeight="1">
      <c r="A25" s="65"/>
      <c r="B25" s="51"/>
      <c r="C25" s="67"/>
      <c r="D25" s="34"/>
      <c r="E25" s="34"/>
      <c r="F25" s="34"/>
      <c r="G25" s="34"/>
      <c r="H25" s="35"/>
      <c r="I25" s="42"/>
      <c r="J25" s="65"/>
    </row>
    <row r="26" ht="22.5" customHeight="1">
      <c r="A26" s="63"/>
      <c r="B26" s="52"/>
      <c r="C26" s="68"/>
      <c r="D26" s="29"/>
      <c r="E26" s="29"/>
      <c r="F26" s="29"/>
      <c r="G26" s="29"/>
      <c r="H26" s="30"/>
      <c r="I26" s="46"/>
      <c r="J26" s="63"/>
    </row>
    <row r="27" ht="22.5" customHeight="1">
      <c r="A27" s="65"/>
      <c r="B27" s="51"/>
      <c r="C27" s="67"/>
      <c r="D27" s="34"/>
      <c r="E27" s="34"/>
      <c r="F27" s="34"/>
      <c r="G27" s="34"/>
      <c r="H27" s="35"/>
      <c r="I27" s="42"/>
      <c r="J27" s="65"/>
    </row>
    <row r="28" ht="22.5" customHeight="1">
      <c r="A28" s="63"/>
      <c r="B28" s="52"/>
      <c r="C28" s="69"/>
      <c r="D28" s="29"/>
      <c r="E28" s="29"/>
      <c r="F28" s="29"/>
      <c r="G28" s="29"/>
      <c r="H28" s="30"/>
      <c r="I28" s="46"/>
      <c r="J28" s="63"/>
    </row>
    <row r="29" ht="22.5" customHeight="1">
      <c r="A29" s="65"/>
      <c r="B29" s="51"/>
      <c r="C29" s="70"/>
      <c r="D29" s="34"/>
      <c r="E29" s="34"/>
      <c r="F29" s="34"/>
      <c r="G29" s="34"/>
      <c r="H29" s="35"/>
      <c r="I29" s="42"/>
      <c r="J29" s="65"/>
    </row>
    <row r="30" ht="22.5" customHeight="1">
      <c r="A30" s="63"/>
      <c r="B30" s="52"/>
      <c r="C30" s="69"/>
      <c r="D30" s="29"/>
      <c r="E30" s="29"/>
      <c r="F30" s="29"/>
      <c r="G30" s="29"/>
      <c r="H30" s="30"/>
      <c r="I30" s="46"/>
      <c r="J30" s="63"/>
    </row>
    <row r="31" ht="22.5" customHeight="1">
      <c r="A31" s="65"/>
      <c r="B31" s="51"/>
      <c r="C31" s="70"/>
      <c r="D31" s="34"/>
      <c r="E31" s="34"/>
      <c r="F31" s="34"/>
      <c r="G31" s="34"/>
      <c r="H31" s="35"/>
      <c r="I31" s="42"/>
      <c r="J31" s="65"/>
    </row>
    <row r="32" ht="22.5" customHeight="1">
      <c r="A32" s="63"/>
      <c r="B32" s="52"/>
      <c r="C32" s="71"/>
      <c r="D32" s="29"/>
      <c r="E32" s="29"/>
      <c r="F32" s="29"/>
      <c r="G32" s="29"/>
      <c r="H32" s="45"/>
      <c r="I32" s="63"/>
      <c r="J32" s="46"/>
    </row>
    <row r="33" ht="22.5" customHeight="1">
      <c r="A33" s="65"/>
      <c r="B33" s="51"/>
      <c r="C33" s="67"/>
      <c r="D33" s="34"/>
      <c r="E33" s="34"/>
      <c r="F33" s="34"/>
      <c r="G33" s="34"/>
      <c r="H33" s="35"/>
      <c r="I33" s="42"/>
      <c r="J33" s="65"/>
    </row>
    <row r="34" ht="22.5" customHeight="1">
      <c r="A34" s="63"/>
      <c r="B34" s="52"/>
      <c r="C34" s="69"/>
      <c r="D34" s="29"/>
      <c r="E34" s="29"/>
      <c r="F34" s="29"/>
      <c r="G34" s="29"/>
      <c r="H34" s="30"/>
      <c r="I34" s="46"/>
      <c r="J34" s="63"/>
    </row>
    <row r="35" ht="22.5" customHeight="1">
      <c r="A35" s="65"/>
      <c r="B35" s="51"/>
      <c r="C35" s="70"/>
      <c r="D35" s="34"/>
      <c r="E35" s="34"/>
      <c r="F35" s="34"/>
      <c r="G35" s="34"/>
      <c r="H35" s="35"/>
      <c r="I35" s="42"/>
      <c r="J35" s="65"/>
    </row>
    <row r="36" ht="22.5" customHeight="1">
      <c r="A36" s="63"/>
      <c r="B36" s="52"/>
      <c r="C36" s="68"/>
      <c r="D36" s="29"/>
      <c r="E36" s="29"/>
      <c r="F36" s="29"/>
      <c r="G36" s="29"/>
      <c r="H36" s="30"/>
      <c r="I36" s="46"/>
      <c r="J36" s="63"/>
    </row>
    <row r="37" ht="22.5" customHeight="1">
      <c r="A37" s="42"/>
      <c r="B37" s="72"/>
      <c r="C37" s="73"/>
      <c r="D37" s="72"/>
      <c r="E37" s="72"/>
      <c r="F37" s="72"/>
      <c r="G37" s="72"/>
      <c r="H37" s="73"/>
      <c r="I37" s="42"/>
      <c r="J37" s="42"/>
    </row>
  </sheetData>
  <dataValidations>
    <dataValidation type="custom" allowBlank="1" showDropDown="1" sqref="A2:A37 J2:J37">
      <formula1>OR(NOT(ISERROR(DATEVALUE(A2))), AND(ISNUMBER(A2), LEFT(CELL("format", A2))="D"))</formula1>
    </dataValidation>
    <dataValidation type="list" allowBlank="1" sqref="H2:H37">
      <formula1>"Pass,Fail,-"</formula1>
    </dataValidation>
    <dataValidation type="list" allowBlank="1" sqref="C2:C37">
      <formula1>"Positive ,Negative,Functionality,UI/UX,Security"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63"/>
  </cols>
  <sheetData>
    <row r="1" ht="22.5" customHeight="1">
      <c r="A1" s="74" t="s">
        <v>19</v>
      </c>
      <c r="B1" s="23" t="s">
        <v>20</v>
      </c>
      <c r="C1" s="23" t="s">
        <v>21</v>
      </c>
      <c r="D1" s="23" t="s">
        <v>23</v>
      </c>
      <c r="E1" s="23" t="s">
        <v>47</v>
      </c>
      <c r="F1" s="24" t="s">
        <v>25</v>
      </c>
      <c r="G1" s="23" t="s">
        <v>27</v>
      </c>
      <c r="H1" s="23" t="s">
        <v>26</v>
      </c>
    </row>
    <row r="2" ht="22.5" customHeight="1">
      <c r="A2" s="53"/>
      <c r="B2" s="55" t="s">
        <v>97</v>
      </c>
      <c r="C2" s="69"/>
      <c r="D2" s="29"/>
      <c r="E2" s="29"/>
      <c r="F2" s="29"/>
      <c r="G2" s="75"/>
      <c r="H2" s="45"/>
    </row>
    <row r="3" ht="22.5" customHeight="1">
      <c r="A3" s="65"/>
      <c r="B3" s="55" t="s">
        <v>98</v>
      </c>
      <c r="C3" s="70"/>
      <c r="D3" s="34"/>
      <c r="E3" s="34"/>
      <c r="F3" s="34"/>
      <c r="G3" s="76"/>
      <c r="H3" s="41"/>
    </row>
    <row r="4" ht="22.5" customHeight="1">
      <c r="A4" s="63"/>
      <c r="B4" s="55" t="s">
        <v>99</v>
      </c>
      <c r="C4" s="68"/>
      <c r="D4" s="29"/>
      <c r="E4" s="29"/>
      <c r="F4" s="29"/>
      <c r="G4" s="75"/>
      <c r="H4" s="45"/>
    </row>
    <row r="5" ht="22.5" customHeight="1">
      <c r="A5" s="65"/>
      <c r="B5" s="55" t="s">
        <v>100</v>
      </c>
      <c r="C5" s="35"/>
      <c r="D5" s="72"/>
      <c r="E5" s="72"/>
      <c r="F5" s="72"/>
      <c r="G5" s="72"/>
      <c r="H5" s="73"/>
    </row>
    <row r="6" ht="22.5" customHeight="1">
      <c r="A6" s="46"/>
      <c r="B6" s="55" t="s">
        <v>101</v>
      </c>
      <c r="C6" s="77"/>
      <c r="D6" s="78"/>
      <c r="E6" s="78"/>
      <c r="F6" s="78"/>
      <c r="G6" s="78"/>
      <c r="H6" s="77"/>
    </row>
    <row r="7" ht="22.5" customHeight="1">
      <c r="A7" s="42"/>
      <c r="B7" s="55" t="s">
        <v>102</v>
      </c>
      <c r="C7" s="73"/>
      <c r="D7" s="72"/>
      <c r="E7" s="72"/>
      <c r="F7" s="72"/>
      <c r="G7" s="72"/>
      <c r="H7" s="73"/>
    </row>
    <row r="8" ht="22.5" customHeight="1">
      <c r="A8" s="46"/>
      <c r="B8" s="55" t="s">
        <v>103</v>
      </c>
      <c r="C8" s="77"/>
      <c r="D8" s="78"/>
      <c r="E8" s="78"/>
      <c r="F8" s="78"/>
      <c r="G8" s="78"/>
      <c r="H8" s="77"/>
    </row>
    <row r="9" ht="22.5" customHeight="1">
      <c r="A9" s="42"/>
      <c r="B9" s="55" t="s">
        <v>104</v>
      </c>
      <c r="C9" s="73"/>
      <c r="D9" s="72"/>
      <c r="E9" s="72"/>
      <c r="F9" s="72"/>
      <c r="G9" s="72"/>
      <c r="H9" s="73"/>
    </row>
    <row r="10" ht="22.5" customHeight="1">
      <c r="A10" s="46"/>
      <c r="B10" s="55" t="s">
        <v>105</v>
      </c>
      <c r="C10" s="77"/>
      <c r="D10" s="78"/>
      <c r="E10" s="78"/>
      <c r="F10" s="78"/>
      <c r="G10" s="78"/>
      <c r="H10" s="77"/>
    </row>
    <row r="11" ht="22.5" customHeight="1">
      <c r="A11" s="42"/>
      <c r="B11" s="55" t="s">
        <v>106</v>
      </c>
      <c r="C11" s="73"/>
      <c r="D11" s="72"/>
      <c r="E11" s="72"/>
      <c r="F11" s="72"/>
      <c r="G11" s="72"/>
      <c r="H11" s="73"/>
    </row>
    <row r="12" ht="22.5" customHeight="1">
      <c r="A12" s="46"/>
      <c r="B12" s="55" t="s">
        <v>107</v>
      </c>
      <c r="C12" s="77"/>
      <c r="D12" s="78"/>
      <c r="E12" s="78"/>
      <c r="F12" s="78"/>
      <c r="G12" s="78"/>
      <c r="H12" s="77"/>
    </row>
    <row r="13" ht="22.5" customHeight="1">
      <c r="A13" s="42"/>
      <c r="B13" s="55" t="s">
        <v>108</v>
      </c>
      <c r="C13" s="73"/>
      <c r="D13" s="72"/>
      <c r="E13" s="72"/>
      <c r="F13" s="72"/>
      <c r="G13" s="72"/>
      <c r="H13" s="73"/>
    </row>
    <row r="14" ht="22.5" customHeight="1">
      <c r="A14" s="46"/>
      <c r="B14" s="55" t="s">
        <v>109</v>
      </c>
      <c r="C14" s="77"/>
      <c r="D14" s="78"/>
      <c r="E14" s="78"/>
      <c r="F14" s="78"/>
      <c r="G14" s="78"/>
      <c r="H14" s="77"/>
    </row>
    <row r="15" ht="22.5" customHeight="1">
      <c r="A15" s="42"/>
      <c r="B15" s="55" t="s">
        <v>110</v>
      </c>
      <c r="C15" s="73"/>
      <c r="D15" s="72"/>
      <c r="E15" s="72"/>
      <c r="F15" s="72"/>
      <c r="G15" s="72"/>
      <c r="H15" s="73"/>
    </row>
  </sheetData>
  <dataValidations>
    <dataValidation type="custom" allowBlank="1" showDropDown="1" sqref="A2:A15">
      <formula1>OR(NOT(ISERROR(DATEVALUE(A2))), AND(ISNUMBER(A2), LEFT(CELL("format", A2))="D"))</formula1>
    </dataValidation>
    <dataValidation type="list" allowBlank="1" sqref="H2:H15">
      <formula1>"Pass,Fail,-"</formula1>
    </dataValidation>
    <dataValidation type="list" allowBlank="1" sqref="C2:C15">
      <formula1>"Positive ,Negative,Functionality,UI/UX,Security"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4.63"/>
    <col customWidth="1" min="4" max="4" width="68.38"/>
    <col customWidth="1" min="5" max="5" width="59.13"/>
    <col customWidth="1" min="6" max="6" width="65.5"/>
    <col customWidth="1" min="7" max="7" width="62.75"/>
  </cols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79">
        <v>46107.0</v>
      </c>
      <c r="B2" s="27" t="s">
        <v>111</v>
      </c>
      <c r="C2" s="80" t="s">
        <v>50</v>
      </c>
      <c r="D2" s="55" t="s">
        <v>112</v>
      </c>
      <c r="E2" s="55" t="s">
        <v>113</v>
      </c>
      <c r="F2" s="55" t="s">
        <v>114</v>
      </c>
      <c r="G2" s="55" t="s">
        <v>115</v>
      </c>
      <c r="H2" s="56" t="s">
        <v>55</v>
      </c>
      <c r="I2" s="31"/>
      <c r="J2" s="79">
        <v>46107.0</v>
      </c>
    </row>
    <row r="3" ht="22.5" customHeight="1">
      <c r="A3" s="81">
        <v>46107.0</v>
      </c>
      <c r="B3" s="27" t="s">
        <v>116</v>
      </c>
      <c r="C3" s="82" t="s">
        <v>50</v>
      </c>
      <c r="D3" s="60" t="s">
        <v>117</v>
      </c>
      <c r="E3" s="60" t="s">
        <v>118</v>
      </c>
      <c r="F3" s="60" t="s">
        <v>119</v>
      </c>
      <c r="G3" s="60" t="s">
        <v>120</v>
      </c>
      <c r="H3" s="61" t="s">
        <v>55</v>
      </c>
      <c r="I3" s="36"/>
      <c r="J3" s="81">
        <v>46107.0</v>
      </c>
    </row>
    <row r="4" ht="22.5" customHeight="1">
      <c r="A4" s="79">
        <v>46107.0</v>
      </c>
      <c r="B4" s="27" t="s">
        <v>121</v>
      </c>
      <c r="C4" s="83" t="s">
        <v>50</v>
      </c>
      <c r="D4" s="55" t="s">
        <v>122</v>
      </c>
      <c r="E4" s="55" t="s">
        <v>123</v>
      </c>
      <c r="F4" s="55" t="s">
        <v>119</v>
      </c>
      <c r="G4" s="55" t="s">
        <v>124</v>
      </c>
      <c r="H4" s="56" t="s">
        <v>55</v>
      </c>
      <c r="I4" s="31"/>
      <c r="J4" s="79">
        <v>46107.0</v>
      </c>
    </row>
    <row r="5" ht="22.5" customHeight="1">
      <c r="A5" s="81">
        <v>46107.0</v>
      </c>
      <c r="B5" s="27" t="s">
        <v>125</v>
      </c>
      <c r="C5" s="84" t="s">
        <v>50</v>
      </c>
      <c r="D5" s="85" t="s">
        <v>126</v>
      </c>
      <c r="E5" s="60" t="s">
        <v>127</v>
      </c>
      <c r="F5" s="60" t="s">
        <v>128</v>
      </c>
      <c r="G5" s="60" t="s">
        <v>129</v>
      </c>
      <c r="H5" s="61" t="s">
        <v>66</v>
      </c>
      <c r="I5" s="36"/>
      <c r="J5" s="36"/>
    </row>
    <row r="6" ht="22.5" customHeight="1">
      <c r="A6" s="79">
        <v>46107.0</v>
      </c>
      <c r="B6" s="27" t="s">
        <v>130</v>
      </c>
      <c r="C6" s="83" t="s">
        <v>50</v>
      </c>
      <c r="D6" s="34" t="s">
        <v>131</v>
      </c>
      <c r="E6" s="60" t="s">
        <v>132</v>
      </c>
      <c r="F6" s="34" t="s">
        <v>133</v>
      </c>
      <c r="G6" s="34" t="s">
        <v>134</v>
      </c>
      <c r="H6" s="86" t="s">
        <v>55</v>
      </c>
      <c r="I6" s="39"/>
      <c r="J6" s="87">
        <v>46107.0</v>
      </c>
    </row>
    <row r="7" ht="22.5" customHeight="1">
      <c r="A7" s="81">
        <v>46107.0</v>
      </c>
      <c r="B7" s="27" t="s">
        <v>135</v>
      </c>
      <c r="C7" s="84" t="s">
        <v>50</v>
      </c>
      <c r="D7" s="34" t="s">
        <v>136</v>
      </c>
      <c r="E7" s="60" t="s">
        <v>137</v>
      </c>
      <c r="F7" s="34" t="s">
        <v>138</v>
      </c>
      <c r="G7" s="34" t="s">
        <v>139</v>
      </c>
      <c r="H7" s="88" t="s">
        <v>55</v>
      </c>
      <c r="I7" s="42"/>
      <c r="J7" s="89">
        <v>46107.0</v>
      </c>
    </row>
    <row r="8" ht="22.5" customHeight="1">
      <c r="A8" s="79">
        <v>46107.0</v>
      </c>
      <c r="B8" s="27" t="s">
        <v>140</v>
      </c>
      <c r="C8" s="90" t="s">
        <v>50</v>
      </c>
      <c r="D8" s="55" t="s">
        <v>141</v>
      </c>
      <c r="E8" s="55" t="s">
        <v>142</v>
      </c>
      <c r="F8" s="55" t="s">
        <v>143</v>
      </c>
      <c r="G8" s="55" t="s">
        <v>144</v>
      </c>
      <c r="H8" s="91" t="s">
        <v>55</v>
      </c>
      <c r="I8" s="46"/>
      <c r="J8" s="57">
        <v>46107.0</v>
      </c>
    </row>
    <row r="9" ht="22.5" customHeight="1">
      <c r="A9" s="81">
        <v>46107.0</v>
      </c>
      <c r="B9" s="27" t="s">
        <v>145</v>
      </c>
      <c r="C9" s="92" t="s">
        <v>50</v>
      </c>
      <c r="D9" s="60" t="s">
        <v>146</v>
      </c>
      <c r="E9" s="60" t="s">
        <v>147</v>
      </c>
      <c r="F9" s="60" t="s">
        <v>148</v>
      </c>
      <c r="G9" s="60" t="s">
        <v>149</v>
      </c>
      <c r="H9" s="61" t="s">
        <v>55</v>
      </c>
      <c r="I9" s="49"/>
      <c r="J9" s="93">
        <v>46107.0</v>
      </c>
    </row>
    <row r="10" ht="22.5" customHeight="1">
      <c r="A10" s="79">
        <v>46107.0</v>
      </c>
      <c r="B10" s="27" t="s">
        <v>150</v>
      </c>
      <c r="C10" s="90" t="s">
        <v>151</v>
      </c>
      <c r="D10" s="94" t="s">
        <v>152</v>
      </c>
      <c r="E10" s="55" t="s">
        <v>153</v>
      </c>
      <c r="F10" s="55" t="s">
        <v>154</v>
      </c>
      <c r="G10" s="55" t="s">
        <v>155</v>
      </c>
      <c r="H10" s="91" t="s">
        <v>55</v>
      </c>
      <c r="I10" s="46"/>
      <c r="J10" s="46"/>
    </row>
    <row r="11" ht="22.5" customHeight="1">
      <c r="A11" s="58">
        <v>46108.0</v>
      </c>
      <c r="B11" s="27" t="s">
        <v>156</v>
      </c>
      <c r="C11" s="64" t="s">
        <v>50</v>
      </c>
      <c r="D11" s="60" t="s">
        <v>157</v>
      </c>
      <c r="E11" s="60" t="s">
        <v>158</v>
      </c>
      <c r="F11" s="60" t="s">
        <v>159</v>
      </c>
      <c r="G11" s="60" t="s">
        <v>160</v>
      </c>
      <c r="H11" s="61" t="s">
        <v>55</v>
      </c>
      <c r="I11" s="42"/>
      <c r="J11" s="58">
        <v>46108.0</v>
      </c>
    </row>
    <row r="12" ht="22.5" customHeight="1">
      <c r="A12" s="53">
        <v>46108.0</v>
      </c>
      <c r="B12" s="27" t="s">
        <v>161</v>
      </c>
      <c r="C12" s="62" t="s">
        <v>50</v>
      </c>
      <c r="D12" s="55" t="s">
        <v>162</v>
      </c>
      <c r="E12" s="55" t="s">
        <v>163</v>
      </c>
      <c r="F12" s="55" t="s">
        <v>164</v>
      </c>
      <c r="G12" s="55" t="s">
        <v>165</v>
      </c>
      <c r="H12" s="56" t="s">
        <v>66</v>
      </c>
      <c r="I12" s="46"/>
      <c r="J12" s="63"/>
    </row>
    <row r="13" ht="22.5" customHeight="1">
      <c r="A13" s="58">
        <v>46108.0</v>
      </c>
      <c r="B13" s="27" t="s">
        <v>166</v>
      </c>
      <c r="C13" s="64" t="s">
        <v>50</v>
      </c>
      <c r="D13" s="60" t="s">
        <v>167</v>
      </c>
      <c r="E13" s="60" t="s">
        <v>168</v>
      </c>
      <c r="F13" s="60" t="s">
        <v>169</v>
      </c>
      <c r="G13" s="60" t="s">
        <v>170</v>
      </c>
      <c r="H13" s="61" t="s">
        <v>66</v>
      </c>
      <c r="I13" s="42"/>
      <c r="J13" s="65"/>
    </row>
    <row r="14" ht="22.5" customHeight="1">
      <c r="A14" s="53">
        <v>46108.0</v>
      </c>
      <c r="B14" s="27" t="s">
        <v>171</v>
      </c>
      <c r="C14" s="62" t="s">
        <v>50</v>
      </c>
      <c r="D14" s="55" t="s">
        <v>172</v>
      </c>
      <c r="E14" s="55" t="s">
        <v>173</v>
      </c>
      <c r="F14" s="55" t="s">
        <v>174</v>
      </c>
      <c r="G14" s="55" t="s">
        <v>175</v>
      </c>
      <c r="H14" s="56" t="s">
        <v>66</v>
      </c>
      <c r="I14" s="46"/>
      <c r="J14" s="63"/>
    </row>
    <row r="15" ht="22.5" customHeight="1">
      <c r="A15" s="58">
        <v>46108.0</v>
      </c>
      <c r="B15" s="27" t="s">
        <v>176</v>
      </c>
      <c r="C15" s="64" t="s">
        <v>50</v>
      </c>
      <c r="D15" s="60" t="s">
        <v>177</v>
      </c>
      <c r="E15" s="60" t="s">
        <v>178</v>
      </c>
      <c r="F15" s="60" t="s">
        <v>179</v>
      </c>
      <c r="G15" s="60" t="s">
        <v>180</v>
      </c>
      <c r="H15" s="61" t="s">
        <v>66</v>
      </c>
      <c r="I15" s="42"/>
      <c r="J15" s="65"/>
    </row>
    <row r="16" ht="22.5" customHeight="1">
      <c r="A16" s="53">
        <v>46108.0</v>
      </c>
      <c r="B16" s="27" t="s">
        <v>181</v>
      </c>
      <c r="C16" s="62" t="s">
        <v>50</v>
      </c>
      <c r="D16" s="55" t="s">
        <v>182</v>
      </c>
      <c r="E16" s="55" t="s">
        <v>183</v>
      </c>
      <c r="F16" s="55" t="s">
        <v>184</v>
      </c>
      <c r="G16" s="55" t="s">
        <v>185</v>
      </c>
      <c r="H16" s="56" t="s">
        <v>66</v>
      </c>
      <c r="I16" s="46"/>
      <c r="J16" s="63"/>
    </row>
    <row r="17" ht="22.5" customHeight="1">
      <c r="A17" s="81">
        <v>46108.0</v>
      </c>
      <c r="B17" s="27" t="s">
        <v>186</v>
      </c>
      <c r="C17" s="82" t="s">
        <v>50</v>
      </c>
      <c r="D17" s="60" t="s">
        <v>187</v>
      </c>
      <c r="E17" s="60" t="s">
        <v>188</v>
      </c>
      <c r="F17" s="60" t="s">
        <v>189</v>
      </c>
      <c r="G17" s="60" t="s">
        <v>190</v>
      </c>
      <c r="H17" s="61" t="s">
        <v>66</v>
      </c>
      <c r="I17" s="36"/>
      <c r="J17" s="36"/>
    </row>
    <row r="18" ht="22.5" customHeight="1">
      <c r="A18" s="79">
        <v>46108.0</v>
      </c>
      <c r="B18" s="27" t="s">
        <v>191</v>
      </c>
      <c r="C18" s="80" t="s">
        <v>151</v>
      </c>
      <c r="D18" s="85" t="s">
        <v>192</v>
      </c>
      <c r="E18" s="55" t="s">
        <v>193</v>
      </c>
      <c r="F18" s="55" t="s">
        <v>194</v>
      </c>
      <c r="G18" s="55" t="s">
        <v>195</v>
      </c>
      <c r="H18" s="56" t="s">
        <v>66</v>
      </c>
      <c r="I18" s="31"/>
      <c r="J18" s="31"/>
    </row>
    <row r="19" ht="22.5" customHeight="1">
      <c r="A19" s="81">
        <v>46108.0</v>
      </c>
      <c r="B19" s="27" t="s">
        <v>196</v>
      </c>
      <c r="C19" s="82" t="s">
        <v>151</v>
      </c>
      <c r="D19" s="85" t="s">
        <v>197</v>
      </c>
      <c r="E19" s="60" t="s">
        <v>198</v>
      </c>
      <c r="F19" s="60" t="s">
        <v>199</v>
      </c>
      <c r="G19" s="60" t="s">
        <v>200</v>
      </c>
      <c r="H19" s="61" t="s">
        <v>66</v>
      </c>
      <c r="I19" s="36"/>
      <c r="J19" s="36"/>
    </row>
    <row r="20" ht="22.5" customHeight="1">
      <c r="A20" s="79">
        <v>46108.0</v>
      </c>
      <c r="B20" s="27" t="s">
        <v>201</v>
      </c>
      <c r="C20" s="80" t="s">
        <v>151</v>
      </c>
      <c r="D20" s="85" t="s">
        <v>202</v>
      </c>
      <c r="E20" s="55" t="s">
        <v>203</v>
      </c>
      <c r="F20" s="55" t="s">
        <v>204</v>
      </c>
      <c r="G20" s="55" t="s">
        <v>205</v>
      </c>
      <c r="H20" s="56" t="s">
        <v>66</v>
      </c>
      <c r="I20" s="31"/>
      <c r="J20" s="31"/>
    </row>
    <row r="21" ht="22.5" customHeight="1">
      <c r="A21" s="81">
        <v>46108.0</v>
      </c>
      <c r="B21" s="27" t="s">
        <v>206</v>
      </c>
      <c r="C21" s="82" t="s">
        <v>151</v>
      </c>
      <c r="D21" s="85" t="s">
        <v>207</v>
      </c>
      <c r="E21" s="60" t="s">
        <v>208</v>
      </c>
      <c r="F21" s="60" t="s">
        <v>209</v>
      </c>
      <c r="G21" s="60" t="s">
        <v>210</v>
      </c>
      <c r="H21" s="95" t="s">
        <v>66</v>
      </c>
      <c r="I21" s="42"/>
      <c r="J21" s="42"/>
    </row>
    <row r="22" ht="22.5" customHeight="1">
      <c r="A22" s="79">
        <v>46108.0</v>
      </c>
      <c r="B22" s="27" t="s">
        <v>211</v>
      </c>
      <c r="C22" s="80" t="s">
        <v>50</v>
      </c>
      <c r="D22" s="85" t="s">
        <v>212</v>
      </c>
      <c r="E22" s="55" t="s">
        <v>213</v>
      </c>
      <c r="F22" s="55" t="s">
        <v>214</v>
      </c>
      <c r="G22" s="55" t="s">
        <v>215</v>
      </c>
      <c r="H22" s="56" t="s">
        <v>55</v>
      </c>
      <c r="I22" s="31"/>
      <c r="J22" s="79">
        <v>46108.0</v>
      </c>
    </row>
    <row r="23" ht="22.5" customHeight="1">
      <c r="A23" s="81">
        <v>46108.0</v>
      </c>
      <c r="B23" s="27" t="s">
        <v>216</v>
      </c>
      <c r="C23" s="82" t="s">
        <v>50</v>
      </c>
      <c r="D23" s="85" t="s">
        <v>217</v>
      </c>
      <c r="E23" s="60" t="s">
        <v>218</v>
      </c>
      <c r="F23" s="60" t="s">
        <v>219</v>
      </c>
      <c r="G23" s="60" t="s">
        <v>220</v>
      </c>
      <c r="H23" s="61" t="s">
        <v>66</v>
      </c>
      <c r="I23" s="36"/>
      <c r="J23" s="36"/>
    </row>
    <row r="24" ht="22.5" customHeight="1">
      <c r="A24" s="79">
        <v>46108.0</v>
      </c>
      <c r="B24" s="27" t="s">
        <v>221</v>
      </c>
      <c r="C24" s="80" t="s">
        <v>50</v>
      </c>
      <c r="D24" s="85" t="s">
        <v>222</v>
      </c>
      <c r="E24" s="55" t="s">
        <v>223</v>
      </c>
      <c r="F24" s="55" t="s">
        <v>224</v>
      </c>
      <c r="G24" s="55" t="s">
        <v>225</v>
      </c>
      <c r="H24" s="91" t="s">
        <v>66</v>
      </c>
      <c r="I24" s="46"/>
      <c r="J24" s="46"/>
    </row>
    <row r="25" ht="22.5" customHeight="1">
      <c r="A25" s="81">
        <v>46108.0</v>
      </c>
      <c r="B25" s="27" t="s">
        <v>226</v>
      </c>
      <c r="C25" s="82" t="s">
        <v>50</v>
      </c>
      <c r="D25" s="85" t="s">
        <v>227</v>
      </c>
      <c r="E25" s="60" t="s">
        <v>228</v>
      </c>
      <c r="F25" s="60" t="s">
        <v>229</v>
      </c>
      <c r="G25" s="60" t="s">
        <v>230</v>
      </c>
      <c r="H25" s="95" t="s">
        <v>66</v>
      </c>
      <c r="I25" s="42"/>
      <c r="J25" s="42"/>
    </row>
  </sheetData>
  <dataValidations>
    <dataValidation type="custom" allowBlank="1" showDropDown="1" sqref="A2:A25 J2:J25">
      <formula1>OR(NOT(ISERROR(DATEVALUE(A2))), AND(ISNUMBER(A2), LEFT(CELL("format", A2))="D"))</formula1>
    </dataValidation>
    <dataValidation type="list" allowBlank="1" sqref="H2:H25">
      <formula1>"Pass,Fail,-"</formula1>
    </dataValidation>
    <dataValidation type="list" allowBlank="1" sqref="C2:C25">
      <formula1>"Positive ,Negative,Functionality,UI/UX,Security"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38"/>
    <col customWidth="1" min="3" max="3" width="25.25"/>
    <col customWidth="1" min="4" max="4" width="54.63"/>
    <col customWidth="1" min="5" max="5" width="62.5"/>
    <col customWidth="1" min="6" max="6" width="49.75"/>
    <col customWidth="1" min="7" max="7" width="40.88"/>
    <col customWidth="1" min="9" max="9" width="19.38"/>
    <col customWidth="1" min="10" max="10" width="14.0"/>
  </cols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79">
        <v>46107.0</v>
      </c>
      <c r="B2" s="27" t="s">
        <v>231</v>
      </c>
      <c r="C2" s="80" t="s">
        <v>50</v>
      </c>
      <c r="D2" s="55" t="s">
        <v>232</v>
      </c>
      <c r="E2" s="55" t="s">
        <v>233</v>
      </c>
      <c r="F2" s="55" t="s">
        <v>234</v>
      </c>
      <c r="G2" s="55" t="s">
        <v>235</v>
      </c>
      <c r="H2" s="56" t="s">
        <v>55</v>
      </c>
      <c r="I2" s="31"/>
      <c r="J2" s="79">
        <v>46107.0</v>
      </c>
    </row>
    <row r="3" ht="22.5" customHeight="1">
      <c r="A3" s="81">
        <v>46107.0</v>
      </c>
      <c r="B3" s="27" t="s">
        <v>236</v>
      </c>
      <c r="C3" s="82" t="s">
        <v>50</v>
      </c>
      <c r="D3" s="60" t="s">
        <v>237</v>
      </c>
      <c r="E3" s="60" t="s">
        <v>238</v>
      </c>
      <c r="F3" s="60" t="s">
        <v>239</v>
      </c>
      <c r="G3" s="60" t="s">
        <v>240</v>
      </c>
      <c r="H3" s="61" t="s">
        <v>66</v>
      </c>
      <c r="I3" s="57">
        <v>46107.0</v>
      </c>
      <c r="J3" s="36"/>
    </row>
    <row r="4" ht="22.5" customHeight="1">
      <c r="A4" s="81">
        <v>46107.0</v>
      </c>
      <c r="B4" s="27"/>
      <c r="C4" s="82" t="s">
        <v>50</v>
      </c>
      <c r="D4" s="60" t="s">
        <v>241</v>
      </c>
      <c r="E4" s="60" t="s">
        <v>242</v>
      </c>
      <c r="F4" s="60" t="s">
        <v>243</v>
      </c>
      <c r="G4" s="60" t="s">
        <v>244</v>
      </c>
      <c r="H4" s="61" t="s">
        <v>55</v>
      </c>
      <c r="I4" s="36"/>
      <c r="J4" s="81">
        <v>46107.0</v>
      </c>
    </row>
    <row r="5" ht="22.5" customHeight="1">
      <c r="A5" s="81">
        <v>46107.0</v>
      </c>
      <c r="B5" s="27" t="s">
        <v>245</v>
      </c>
      <c r="C5" s="82" t="s">
        <v>50</v>
      </c>
      <c r="D5" s="60" t="s">
        <v>246</v>
      </c>
      <c r="E5" s="60" t="s">
        <v>247</v>
      </c>
      <c r="F5" s="60" t="s">
        <v>248</v>
      </c>
      <c r="G5" s="60" t="s">
        <v>249</v>
      </c>
      <c r="H5" s="61" t="s">
        <v>55</v>
      </c>
      <c r="I5" s="36"/>
      <c r="J5" s="57">
        <v>46107.0</v>
      </c>
    </row>
    <row r="6" ht="22.5" customHeight="1">
      <c r="A6" s="81">
        <v>46107.0</v>
      </c>
      <c r="B6" s="27"/>
      <c r="C6" s="82" t="s">
        <v>50</v>
      </c>
      <c r="D6" s="60" t="s">
        <v>250</v>
      </c>
      <c r="E6" s="60" t="s">
        <v>251</v>
      </c>
      <c r="F6" s="60" t="s">
        <v>252</v>
      </c>
      <c r="G6" s="60" t="s">
        <v>253</v>
      </c>
      <c r="H6" s="61" t="s">
        <v>55</v>
      </c>
      <c r="I6" s="36"/>
      <c r="J6" s="81">
        <v>46107.0</v>
      </c>
    </row>
    <row r="7" ht="22.5" customHeight="1">
      <c r="A7" s="79">
        <v>46107.0</v>
      </c>
      <c r="B7" s="27" t="s">
        <v>254</v>
      </c>
      <c r="C7" s="83" t="s">
        <v>50</v>
      </c>
      <c r="D7" s="55" t="s">
        <v>255</v>
      </c>
      <c r="E7" s="55" t="s">
        <v>256</v>
      </c>
      <c r="F7" s="55" t="s">
        <v>257</v>
      </c>
      <c r="G7" s="55" t="s">
        <v>258</v>
      </c>
      <c r="H7" s="56" t="s">
        <v>66</v>
      </c>
      <c r="I7" s="57">
        <v>46107.0</v>
      </c>
      <c r="J7" s="31"/>
    </row>
    <row r="8" ht="22.5" customHeight="1">
      <c r="A8" s="81">
        <v>46107.0</v>
      </c>
      <c r="B8" s="27" t="s">
        <v>259</v>
      </c>
      <c r="C8" s="84" t="s">
        <v>50</v>
      </c>
      <c r="D8" s="60" t="s">
        <v>260</v>
      </c>
      <c r="E8" s="60" t="s">
        <v>261</v>
      </c>
      <c r="F8" s="60" t="s">
        <v>262</v>
      </c>
      <c r="G8" s="60" t="s">
        <v>263</v>
      </c>
      <c r="H8" s="61" t="s">
        <v>66</v>
      </c>
      <c r="I8" s="57">
        <v>46107.0</v>
      </c>
      <c r="J8" s="36"/>
    </row>
    <row r="9" ht="22.5" customHeight="1">
      <c r="A9" s="79">
        <v>46107.0</v>
      </c>
      <c r="B9" s="27" t="s">
        <v>264</v>
      </c>
      <c r="C9" s="83" t="s">
        <v>50</v>
      </c>
      <c r="D9" s="55" t="s">
        <v>265</v>
      </c>
      <c r="E9" s="55" t="s">
        <v>266</v>
      </c>
      <c r="F9" s="55" t="s">
        <v>267</v>
      </c>
      <c r="G9" s="55" t="s">
        <v>268</v>
      </c>
      <c r="H9" s="56" t="s">
        <v>66</v>
      </c>
      <c r="I9" s="57">
        <v>46107.0</v>
      </c>
      <c r="J9" s="39"/>
    </row>
    <row r="10" ht="22.5" customHeight="1">
      <c r="A10" s="81">
        <v>46107.0</v>
      </c>
      <c r="B10" s="27" t="s">
        <v>269</v>
      </c>
      <c r="C10" s="84" t="s">
        <v>50</v>
      </c>
      <c r="D10" s="60" t="s">
        <v>270</v>
      </c>
      <c r="E10" s="60" t="s">
        <v>271</v>
      </c>
      <c r="F10" s="60" t="s">
        <v>272</v>
      </c>
      <c r="G10" s="60" t="s">
        <v>273</v>
      </c>
      <c r="H10" s="95" t="s">
        <v>66</v>
      </c>
      <c r="I10" s="57">
        <v>46107.0</v>
      </c>
      <c r="J10" s="42"/>
    </row>
    <row r="11" ht="22.5" customHeight="1">
      <c r="A11" s="79">
        <v>46107.0</v>
      </c>
      <c r="B11" s="27" t="s">
        <v>274</v>
      </c>
      <c r="C11" s="90" t="s">
        <v>50</v>
      </c>
      <c r="D11" s="55" t="s">
        <v>275</v>
      </c>
      <c r="E11" s="55" t="s">
        <v>276</v>
      </c>
      <c r="F11" s="55" t="s">
        <v>277</v>
      </c>
      <c r="G11" s="55" t="s">
        <v>278</v>
      </c>
      <c r="H11" s="91" t="s">
        <v>55</v>
      </c>
      <c r="I11" s="46"/>
      <c r="J11" s="57">
        <v>46107.0</v>
      </c>
    </row>
    <row r="12" ht="22.5" customHeight="1">
      <c r="A12" s="81">
        <v>46107.0</v>
      </c>
      <c r="B12" s="27" t="s">
        <v>279</v>
      </c>
      <c r="C12" s="92" t="s">
        <v>50</v>
      </c>
      <c r="D12" s="60" t="s">
        <v>280</v>
      </c>
      <c r="E12" s="60" t="s">
        <v>281</v>
      </c>
      <c r="F12" s="60" t="s">
        <v>282</v>
      </c>
      <c r="G12" s="60" t="s">
        <v>283</v>
      </c>
      <c r="H12" s="61" t="s">
        <v>66</v>
      </c>
      <c r="I12" s="49"/>
      <c r="J12" s="49"/>
    </row>
    <row r="13" ht="22.5" customHeight="1">
      <c r="A13" s="79"/>
      <c r="B13" s="27" t="s">
        <v>284</v>
      </c>
      <c r="C13" s="44"/>
      <c r="D13" s="29"/>
      <c r="E13" s="29"/>
      <c r="F13" s="29"/>
      <c r="G13" s="29"/>
      <c r="H13" s="45"/>
      <c r="I13" s="46"/>
      <c r="J13" s="46"/>
    </row>
    <row r="14" ht="22.5" customHeight="1">
      <c r="A14" s="36"/>
      <c r="B14" s="27" t="s">
        <v>285</v>
      </c>
      <c r="C14" s="48"/>
      <c r="D14" s="34"/>
      <c r="E14" s="34"/>
      <c r="F14" s="34"/>
      <c r="G14" s="34"/>
      <c r="H14" s="41"/>
      <c r="I14" s="42"/>
      <c r="J14" s="42"/>
    </row>
    <row r="15" ht="22.5" customHeight="1">
      <c r="A15" s="31"/>
      <c r="B15" s="27" t="s">
        <v>286</v>
      </c>
      <c r="C15" s="44"/>
      <c r="D15" s="29"/>
      <c r="E15" s="29"/>
      <c r="F15" s="29"/>
      <c r="G15" s="29"/>
      <c r="H15" s="45"/>
      <c r="I15" s="46"/>
      <c r="J15" s="46"/>
    </row>
    <row r="16" ht="22.5" customHeight="1">
      <c r="A16" s="36"/>
      <c r="B16" s="27" t="s">
        <v>287</v>
      </c>
      <c r="C16" s="48"/>
      <c r="D16" s="34"/>
      <c r="E16" s="34"/>
      <c r="F16" s="34"/>
      <c r="G16" s="34"/>
      <c r="H16" s="41"/>
      <c r="I16" s="42"/>
      <c r="J16" s="42"/>
    </row>
    <row r="17" ht="22.5" customHeight="1">
      <c r="A17" s="31"/>
      <c r="B17" s="27" t="s">
        <v>288</v>
      </c>
      <c r="C17" s="37"/>
      <c r="D17" s="29"/>
      <c r="E17" s="29"/>
      <c r="F17" s="29"/>
      <c r="G17" s="29"/>
      <c r="H17" s="30"/>
      <c r="I17" s="31"/>
      <c r="J17" s="31"/>
    </row>
    <row r="18" ht="22.5" customHeight="1">
      <c r="A18" s="36"/>
      <c r="B18" s="27" t="s">
        <v>289</v>
      </c>
      <c r="C18" s="38"/>
      <c r="D18" s="34"/>
      <c r="E18" s="34"/>
      <c r="F18" s="34"/>
      <c r="G18" s="34"/>
      <c r="H18" s="35"/>
      <c r="I18" s="36"/>
      <c r="J18" s="36"/>
    </row>
    <row r="19" ht="22.5" customHeight="1">
      <c r="A19" s="31"/>
      <c r="B19" s="27" t="s">
        <v>290</v>
      </c>
      <c r="C19" s="28"/>
      <c r="D19" s="29"/>
      <c r="E19" s="29"/>
      <c r="F19" s="29"/>
      <c r="G19" s="29"/>
      <c r="H19" s="30"/>
      <c r="I19" s="31"/>
      <c r="J19" s="31"/>
    </row>
    <row r="20" ht="22.5" customHeight="1">
      <c r="A20" s="36"/>
      <c r="B20" s="27" t="s">
        <v>291</v>
      </c>
      <c r="C20" s="33"/>
      <c r="D20" s="34"/>
      <c r="E20" s="34"/>
      <c r="F20" s="34"/>
      <c r="G20" s="34"/>
      <c r="H20" s="35"/>
      <c r="I20" s="36"/>
      <c r="J20" s="36"/>
    </row>
    <row r="21" ht="22.5" customHeight="1">
      <c r="A21" s="31"/>
      <c r="B21" s="52"/>
      <c r="C21" s="28"/>
      <c r="D21" s="29"/>
      <c r="E21" s="29"/>
      <c r="F21" s="29"/>
      <c r="G21" s="29"/>
      <c r="H21" s="30"/>
      <c r="I21" s="31"/>
      <c r="J21" s="31"/>
    </row>
    <row r="22" ht="22.5" customHeight="1">
      <c r="A22" s="36"/>
      <c r="B22" s="51"/>
      <c r="C22" s="33"/>
      <c r="D22" s="34"/>
      <c r="E22" s="34"/>
      <c r="F22" s="34"/>
      <c r="G22" s="34"/>
      <c r="H22" s="35"/>
      <c r="I22" s="36"/>
      <c r="J22" s="36"/>
    </row>
    <row r="23" ht="22.5" customHeight="1">
      <c r="A23" s="31"/>
      <c r="B23" s="52"/>
      <c r="C23" s="28"/>
      <c r="D23" s="29"/>
      <c r="E23" s="29"/>
      <c r="F23" s="29"/>
      <c r="G23" s="29"/>
      <c r="H23" s="30"/>
      <c r="I23" s="31"/>
      <c r="J23" s="31"/>
    </row>
    <row r="24" ht="22.5" customHeight="1">
      <c r="A24" s="36"/>
      <c r="B24" s="51"/>
      <c r="C24" s="33"/>
      <c r="D24" s="34"/>
      <c r="E24" s="34"/>
      <c r="F24" s="34"/>
      <c r="G24" s="34"/>
      <c r="H24" s="41"/>
      <c r="I24" s="42"/>
      <c r="J24" s="42"/>
    </row>
    <row r="25" ht="22.5" customHeight="1">
      <c r="A25" s="31"/>
      <c r="B25" s="52"/>
      <c r="C25" s="28"/>
      <c r="D25" s="29"/>
      <c r="E25" s="29"/>
      <c r="F25" s="29"/>
      <c r="G25" s="29"/>
      <c r="H25" s="30"/>
      <c r="I25" s="31"/>
      <c r="J25" s="31"/>
    </row>
    <row r="26" ht="22.5" customHeight="1">
      <c r="A26" s="36"/>
      <c r="B26" s="51"/>
      <c r="C26" s="33"/>
      <c r="D26" s="34"/>
      <c r="E26" s="34"/>
      <c r="F26" s="34"/>
      <c r="G26" s="34"/>
      <c r="H26" s="35"/>
      <c r="I26" s="36"/>
      <c r="J26" s="36"/>
    </row>
    <row r="27" ht="22.5" customHeight="1">
      <c r="A27" s="31"/>
      <c r="B27" s="52"/>
      <c r="C27" s="28"/>
      <c r="D27" s="29"/>
      <c r="E27" s="29"/>
      <c r="F27" s="29"/>
      <c r="G27" s="29"/>
      <c r="H27" s="45"/>
      <c r="I27" s="46"/>
      <c r="J27" s="46"/>
    </row>
    <row r="28" ht="22.5" customHeight="1">
      <c r="A28" s="36"/>
      <c r="B28" s="51"/>
      <c r="C28" s="33"/>
      <c r="D28" s="34"/>
      <c r="E28" s="34"/>
      <c r="F28" s="34"/>
      <c r="G28" s="34"/>
      <c r="H28" s="41"/>
      <c r="I28" s="42"/>
      <c r="J28" s="42"/>
    </row>
    <row r="29" ht="22.5" customHeight="1">
      <c r="A29" s="31"/>
      <c r="B29" s="52"/>
      <c r="C29" s="28"/>
      <c r="D29" s="29"/>
      <c r="E29" s="29"/>
      <c r="F29" s="29"/>
      <c r="G29" s="29"/>
      <c r="H29" s="45"/>
      <c r="I29" s="46"/>
      <c r="J29" s="46"/>
    </row>
    <row r="30" ht="22.5" customHeight="1">
      <c r="A30" s="36"/>
      <c r="B30" s="51"/>
      <c r="C30" s="33"/>
      <c r="D30" s="34"/>
      <c r="E30" s="34"/>
      <c r="F30" s="34"/>
      <c r="G30" s="34"/>
      <c r="H30" s="41"/>
      <c r="I30" s="42"/>
      <c r="J30" s="42"/>
    </row>
    <row r="31" ht="22.5" customHeight="1">
      <c r="A31" s="31"/>
      <c r="B31" s="52"/>
      <c r="C31" s="28"/>
      <c r="D31" s="29"/>
      <c r="E31" s="29"/>
      <c r="F31" s="29"/>
      <c r="G31" s="29"/>
      <c r="H31" s="30"/>
      <c r="I31" s="31"/>
      <c r="J31" s="31"/>
    </row>
    <row r="32" ht="22.5" customHeight="1">
      <c r="A32" s="36"/>
      <c r="B32" s="51"/>
      <c r="C32" s="33"/>
      <c r="D32" s="34"/>
      <c r="E32" s="34"/>
      <c r="F32" s="34"/>
      <c r="G32" s="34"/>
      <c r="H32" s="35"/>
      <c r="I32" s="36"/>
      <c r="J32" s="36"/>
    </row>
    <row r="33" ht="22.5" customHeight="1">
      <c r="A33" s="31"/>
      <c r="B33" s="52"/>
      <c r="C33" s="28"/>
      <c r="D33" s="29"/>
      <c r="E33" s="29"/>
      <c r="F33" s="29"/>
      <c r="G33" s="29"/>
      <c r="H33" s="45"/>
      <c r="I33" s="46"/>
      <c r="J33" s="46"/>
    </row>
  </sheetData>
  <dataValidations>
    <dataValidation type="custom" allowBlank="1" showDropDown="1" sqref="A2:A33 J2:J33">
      <formula1>OR(NOT(ISERROR(DATEVALUE(A2))), AND(ISNUMBER(A2), LEFT(CELL("format", A2))="D"))</formula1>
    </dataValidation>
    <dataValidation type="list" allowBlank="1" sqref="H2:H33">
      <formula1>"Pass,Fail,-"</formula1>
    </dataValidation>
    <dataValidation type="list" allowBlank="1" sqref="C2:C33">
      <formula1>"Positive ,Negative,Functionality,UI/UX,Security"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38.13"/>
    <col customWidth="1" min="5" max="5" width="51.5"/>
    <col customWidth="1" min="6" max="6" width="54.75"/>
  </cols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85"/>
      <c r="B2" s="85" t="s">
        <v>292</v>
      </c>
      <c r="C2" s="13" t="s">
        <v>50</v>
      </c>
      <c r="D2" s="85" t="s">
        <v>293</v>
      </c>
      <c r="E2" s="85" t="s">
        <v>294</v>
      </c>
      <c r="F2" s="85" t="s">
        <v>295</v>
      </c>
      <c r="G2" s="96"/>
      <c r="H2" s="97"/>
      <c r="I2" s="98"/>
      <c r="J2" s="31"/>
    </row>
    <row r="3" ht="22.5" customHeight="1">
      <c r="A3" s="98"/>
      <c r="B3" s="85" t="s">
        <v>296</v>
      </c>
      <c r="C3" s="13" t="s">
        <v>50</v>
      </c>
      <c r="D3" s="85" t="s">
        <v>297</v>
      </c>
      <c r="E3" s="85" t="s">
        <v>298</v>
      </c>
      <c r="F3" s="85" t="s">
        <v>299</v>
      </c>
      <c r="G3" s="96"/>
      <c r="H3" s="97"/>
      <c r="I3" s="98"/>
      <c r="J3" s="98"/>
    </row>
    <row r="4" ht="22.5" customHeight="1">
      <c r="A4" s="98"/>
      <c r="B4" s="85" t="s">
        <v>300</v>
      </c>
      <c r="C4" s="13" t="s">
        <v>50</v>
      </c>
      <c r="D4" s="85" t="s">
        <v>301</v>
      </c>
      <c r="E4" s="85" t="s">
        <v>302</v>
      </c>
      <c r="F4" s="85" t="s">
        <v>303</v>
      </c>
      <c r="G4" s="96"/>
      <c r="H4" s="97"/>
      <c r="I4" s="98"/>
      <c r="J4" s="98"/>
    </row>
    <row r="5" ht="22.5" customHeight="1">
      <c r="A5" s="98"/>
      <c r="B5" s="85" t="s">
        <v>304</v>
      </c>
      <c r="C5" s="13" t="s">
        <v>50</v>
      </c>
      <c r="D5" s="85" t="s">
        <v>305</v>
      </c>
      <c r="E5" s="85" t="s">
        <v>306</v>
      </c>
      <c r="F5" s="85" t="s">
        <v>307</v>
      </c>
      <c r="G5" s="96"/>
      <c r="H5" s="97"/>
      <c r="I5" s="98"/>
      <c r="J5" s="98"/>
    </row>
    <row r="6" ht="22.5" customHeight="1">
      <c r="A6" s="98"/>
      <c r="B6" s="85" t="s">
        <v>308</v>
      </c>
      <c r="C6" s="13" t="s">
        <v>50</v>
      </c>
      <c r="D6" s="85" t="s">
        <v>309</v>
      </c>
      <c r="E6" s="85" t="s">
        <v>310</v>
      </c>
      <c r="F6" s="85" t="s">
        <v>311</v>
      </c>
      <c r="G6" s="96"/>
      <c r="H6" s="97"/>
      <c r="I6" s="98"/>
      <c r="J6" s="98"/>
    </row>
    <row r="7" ht="22.5" customHeight="1">
      <c r="A7" s="98"/>
      <c r="B7" s="85" t="s">
        <v>312</v>
      </c>
      <c r="C7" s="13" t="s">
        <v>50</v>
      </c>
      <c r="D7" s="85" t="s">
        <v>313</v>
      </c>
      <c r="E7" s="85" t="s">
        <v>314</v>
      </c>
      <c r="F7" s="85" t="s">
        <v>315</v>
      </c>
      <c r="G7" s="96"/>
      <c r="H7" s="97"/>
      <c r="I7" s="98"/>
      <c r="J7" s="98"/>
    </row>
    <row r="8" ht="22.5" customHeight="1">
      <c r="A8" s="98"/>
      <c r="B8" s="85" t="s">
        <v>316</v>
      </c>
      <c r="C8" s="13" t="s">
        <v>50</v>
      </c>
      <c r="D8" s="85" t="s">
        <v>317</v>
      </c>
      <c r="E8" s="85" t="s">
        <v>318</v>
      </c>
      <c r="F8" s="85" t="s">
        <v>319</v>
      </c>
      <c r="G8" s="96"/>
      <c r="H8" s="97"/>
      <c r="I8" s="98"/>
      <c r="J8" s="98"/>
    </row>
    <row r="9" ht="22.5" customHeight="1">
      <c r="A9" s="98"/>
      <c r="B9" s="85" t="s">
        <v>320</v>
      </c>
      <c r="C9" s="13" t="s">
        <v>50</v>
      </c>
      <c r="D9" s="85" t="s">
        <v>321</v>
      </c>
      <c r="E9" s="85" t="s">
        <v>322</v>
      </c>
      <c r="F9" s="85" t="s">
        <v>323</v>
      </c>
      <c r="G9" s="96"/>
      <c r="H9" s="97"/>
      <c r="I9" s="98"/>
      <c r="J9" s="98"/>
    </row>
    <row r="10" ht="22.5" customHeight="1">
      <c r="A10" s="98"/>
      <c r="B10" s="85" t="s">
        <v>324</v>
      </c>
      <c r="C10" s="13" t="s">
        <v>50</v>
      </c>
      <c r="D10" s="85" t="s">
        <v>325</v>
      </c>
      <c r="E10" s="85" t="s">
        <v>326</v>
      </c>
      <c r="F10" s="85" t="s">
        <v>327</v>
      </c>
      <c r="G10" s="96"/>
      <c r="H10" s="97"/>
      <c r="I10" s="98"/>
      <c r="J10" s="98"/>
    </row>
    <row r="11" ht="22.5" customHeight="1">
      <c r="A11" s="98"/>
      <c r="B11" s="85" t="s">
        <v>328</v>
      </c>
      <c r="C11" s="13" t="s">
        <v>50</v>
      </c>
      <c r="D11" s="85" t="s">
        <v>329</v>
      </c>
      <c r="E11" s="85" t="s">
        <v>330</v>
      </c>
      <c r="F11" s="85" t="s">
        <v>331</v>
      </c>
      <c r="G11" s="96"/>
      <c r="H11" s="97"/>
      <c r="I11" s="98"/>
      <c r="J11" s="98"/>
    </row>
    <row r="12" ht="22.5" customHeight="1">
      <c r="A12" s="98"/>
      <c r="B12" s="85" t="s">
        <v>332</v>
      </c>
      <c r="C12" s="13" t="s">
        <v>50</v>
      </c>
      <c r="D12" s="85" t="s">
        <v>333</v>
      </c>
      <c r="E12" s="85" t="s">
        <v>334</v>
      </c>
      <c r="F12" s="85" t="s">
        <v>335</v>
      </c>
      <c r="G12" s="96"/>
      <c r="H12" s="97"/>
      <c r="I12" s="98"/>
      <c r="J12" s="98"/>
    </row>
    <row r="13" ht="22.5" customHeight="1">
      <c r="A13" s="98"/>
      <c r="B13" s="85" t="s">
        <v>336</v>
      </c>
      <c r="C13" s="13" t="s">
        <v>50</v>
      </c>
      <c r="D13" s="85" t="s">
        <v>337</v>
      </c>
      <c r="E13" s="85" t="s">
        <v>338</v>
      </c>
      <c r="F13" s="85" t="s">
        <v>339</v>
      </c>
      <c r="G13" s="96"/>
      <c r="H13" s="97"/>
      <c r="I13" s="98"/>
      <c r="J13" s="98"/>
    </row>
    <row r="14" ht="22.5" customHeight="1">
      <c r="A14" s="98"/>
      <c r="B14" s="85" t="s">
        <v>340</v>
      </c>
      <c r="C14" s="13" t="s">
        <v>50</v>
      </c>
      <c r="D14" s="85" t="s">
        <v>341</v>
      </c>
      <c r="E14" s="85" t="s">
        <v>342</v>
      </c>
      <c r="F14" s="85" t="s">
        <v>339</v>
      </c>
      <c r="G14" s="96"/>
      <c r="H14" s="97"/>
      <c r="I14" s="98"/>
      <c r="J14" s="98"/>
    </row>
    <row r="15" ht="22.5" customHeight="1">
      <c r="A15" s="98"/>
      <c r="B15" s="85" t="s">
        <v>343</v>
      </c>
      <c r="C15" s="13" t="s">
        <v>50</v>
      </c>
      <c r="D15" s="85" t="s">
        <v>344</v>
      </c>
      <c r="E15" s="85" t="s">
        <v>345</v>
      </c>
      <c r="F15" s="85" t="s">
        <v>346</v>
      </c>
      <c r="G15" s="96"/>
      <c r="H15" s="97"/>
      <c r="I15" s="98"/>
      <c r="J15" s="98"/>
    </row>
    <row r="16" ht="22.5" customHeight="1">
      <c r="A16" s="98"/>
      <c r="B16" s="85" t="s">
        <v>347</v>
      </c>
      <c r="C16" s="13" t="s">
        <v>151</v>
      </c>
      <c r="D16" s="85" t="s">
        <v>348</v>
      </c>
      <c r="E16" s="85" t="s">
        <v>349</v>
      </c>
      <c r="F16" s="85" t="s">
        <v>350</v>
      </c>
      <c r="G16" s="96"/>
      <c r="H16" s="97"/>
      <c r="I16" s="98"/>
      <c r="J16" s="98"/>
    </row>
    <row r="17" ht="22.5" customHeight="1">
      <c r="A17" s="98"/>
      <c r="B17" s="85" t="s">
        <v>351</v>
      </c>
      <c r="C17" s="13" t="s">
        <v>50</v>
      </c>
      <c r="D17" s="85" t="s">
        <v>352</v>
      </c>
      <c r="E17" s="85" t="s">
        <v>353</v>
      </c>
      <c r="F17" s="85" t="s">
        <v>354</v>
      </c>
      <c r="G17" s="96"/>
      <c r="H17" s="97"/>
      <c r="I17" s="98"/>
      <c r="J17" s="98"/>
    </row>
    <row r="18" ht="22.5" customHeight="1">
      <c r="A18" s="98"/>
      <c r="B18" s="85" t="s">
        <v>355</v>
      </c>
      <c r="C18" s="13" t="s">
        <v>50</v>
      </c>
      <c r="D18" s="85" t="s">
        <v>356</v>
      </c>
      <c r="E18" s="85" t="s">
        <v>357</v>
      </c>
      <c r="F18" s="85" t="s">
        <v>358</v>
      </c>
      <c r="G18" s="96"/>
      <c r="H18" s="97"/>
      <c r="I18" s="98"/>
      <c r="J18" s="98"/>
    </row>
    <row r="19" ht="22.5" customHeight="1">
      <c r="A19" s="98"/>
      <c r="B19" s="85" t="s">
        <v>359</v>
      </c>
      <c r="C19" s="13" t="s">
        <v>50</v>
      </c>
      <c r="D19" s="85" t="s">
        <v>360</v>
      </c>
      <c r="E19" s="85" t="s">
        <v>361</v>
      </c>
      <c r="F19" s="85" t="s">
        <v>362</v>
      </c>
      <c r="G19" s="96"/>
      <c r="H19" s="97"/>
      <c r="I19" s="98"/>
      <c r="J19" s="98"/>
    </row>
    <row r="20" ht="22.5" customHeight="1">
      <c r="A20" s="98"/>
      <c r="B20" s="85" t="s">
        <v>363</v>
      </c>
      <c r="C20" s="13" t="s">
        <v>50</v>
      </c>
      <c r="D20" s="85" t="s">
        <v>364</v>
      </c>
      <c r="E20" s="85" t="s">
        <v>365</v>
      </c>
      <c r="F20" s="85" t="s">
        <v>366</v>
      </c>
      <c r="G20" s="96"/>
      <c r="H20" s="97"/>
      <c r="I20" s="98"/>
      <c r="J20" s="98"/>
    </row>
    <row r="21" ht="22.5" customHeight="1">
      <c r="A21" s="98"/>
      <c r="B21" s="85" t="s">
        <v>367</v>
      </c>
      <c r="C21" s="13" t="s">
        <v>368</v>
      </c>
      <c r="D21" s="85" t="s">
        <v>369</v>
      </c>
      <c r="E21" s="85" t="s">
        <v>370</v>
      </c>
      <c r="F21" s="85" t="s">
        <v>371</v>
      </c>
      <c r="G21" s="96"/>
      <c r="H21" s="41"/>
      <c r="I21" s="42"/>
      <c r="J21" s="42"/>
    </row>
  </sheetData>
  <dataValidations>
    <dataValidation type="custom" allowBlank="1" showDropDown="1" sqref="A2:A21 J2:J21">
      <formula1>OR(NOT(ISERROR(DATEVALUE(A2))), AND(ISNUMBER(A2), LEFT(CELL("format", A2))="D"))</formula1>
    </dataValidation>
    <dataValidation type="list" allowBlank="1" sqref="H2:H21">
      <formula1>"Pass,Fail,-"</formula1>
    </dataValidation>
    <dataValidation type="list" allowBlank="1" sqref="C2:C21">
      <formula1>"Positive ,Negative,Functionality,UI/UX,Security"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31"/>
      <c r="B2" s="27" t="s">
        <v>372</v>
      </c>
      <c r="C2" s="28"/>
      <c r="D2" s="29"/>
      <c r="E2" s="29"/>
      <c r="F2" s="29"/>
      <c r="G2" s="29"/>
      <c r="H2" s="30"/>
      <c r="I2" s="31"/>
      <c r="J2" s="31"/>
    </row>
    <row r="3" ht="22.5" customHeight="1">
      <c r="A3" s="36"/>
      <c r="B3" s="27" t="s">
        <v>373</v>
      </c>
      <c r="C3" s="33"/>
      <c r="D3" s="34"/>
      <c r="E3" s="34"/>
      <c r="F3" s="34"/>
      <c r="G3" s="34"/>
      <c r="H3" s="35"/>
      <c r="I3" s="36"/>
      <c r="J3" s="36"/>
    </row>
    <row r="4" ht="22.5" customHeight="1">
      <c r="A4" s="31"/>
      <c r="B4" s="27" t="s">
        <v>374</v>
      </c>
      <c r="C4" s="37"/>
      <c r="D4" s="29"/>
      <c r="E4" s="29"/>
      <c r="F4" s="29"/>
      <c r="G4" s="29"/>
      <c r="H4" s="30"/>
      <c r="I4" s="31"/>
      <c r="J4" s="31"/>
    </row>
    <row r="5" ht="22.5" customHeight="1">
      <c r="A5" s="36"/>
      <c r="B5" s="27" t="s">
        <v>375</v>
      </c>
      <c r="C5" s="38"/>
      <c r="D5" s="34"/>
      <c r="E5" s="34"/>
      <c r="F5" s="34"/>
      <c r="G5" s="34"/>
      <c r="H5" s="35"/>
      <c r="I5" s="36"/>
      <c r="J5" s="36"/>
    </row>
    <row r="6" ht="22.5" customHeight="1">
      <c r="A6" s="31"/>
      <c r="B6" s="27" t="s">
        <v>376</v>
      </c>
      <c r="C6" s="37"/>
      <c r="D6" s="29"/>
      <c r="E6" s="29"/>
      <c r="F6" s="29"/>
      <c r="G6" s="29"/>
      <c r="H6" s="30"/>
      <c r="I6" s="39"/>
      <c r="J6" s="39"/>
    </row>
    <row r="7" ht="22.5" customHeight="1">
      <c r="A7" s="36"/>
      <c r="B7" s="27" t="s">
        <v>377</v>
      </c>
      <c r="C7" s="38"/>
      <c r="D7" s="34"/>
      <c r="E7" s="34"/>
      <c r="F7" s="34"/>
      <c r="G7" s="34"/>
      <c r="H7" s="41"/>
      <c r="I7" s="42"/>
      <c r="J7" s="42"/>
    </row>
    <row r="8" ht="22.5" customHeight="1">
      <c r="A8" s="31"/>
      <c r="B8" s="27" t="s">
        <v>378</v>
      </c>
      <c r="C8" s="44"/>
      <c r="D8" s="29"/>
      <c r="E8" s="29"/>
      <c r="F8" s="29"/>
      <c r="G8" s="29"/>
      <c r="H8" s="45"/>
      <c r="I8" s="46"/>
      <c r="J8" s="46"/>
    </row>
    <row r="9" ht="22.5" customHeight="1">
      <c r="A9" s="36"/>
      <c r="B9" s="27" t="s">
        <v>379</v>
      </c>
      <c r="C9" s="48"/>
      <c r="D9" s="34"/>
      <c r="E9" s="34"/>
      <c r="F9" s="34"/>
      <c r="G9" s="34"/>
      <c r="H9" s="35"/>
      <c r="I9" s="49"/>
      <c r="J9" s="49"/>
    </row>
    <row r="10" ht="22.5" customHeight="1">
      <c r="A10" s="31"/>
      <c r="B10" s="27" t="s">
        <v>380</v>
      </c>
      <c r="C10" s="44"/>
      <c r="D10" s="29"/>
      <c r="E10" s="29"/>
      <c r="F10" s="29"/>
      <c r="G10" s="29"/>
      <c r="H10" s="45"/>
      <c r="I10" s="46"/>
      <c r="J10" s="46"/>
    </row>
    <row r="11" ht="22.5" customHeight="1">
      <c r="A11" s="36"/>
      <c r="B11" s="27" t="s">
        <v>381</v>
      </c>
      <c r="C11" s="48"/>
      <c r="D11" s="34"/>
      <c r="E11" s="34"/>
      <c r="F11" s="34"/>
      <c r="G11" s="34"/>
      <c r="H11" s="41"/>
      <c r="I11" s="42"/>
      <c r="J11" s="42"/>
    </row>
    <row r="12" ht="22.5" customHeight="1">
      <c r="A12" s="31"/>
      <c r="B12" s="27" t="s">
        <v>382</v>
      </c>
      <c r="C12" s="44"/>
      <c r="D12" s="29"/>
      <c r="E12" s="29"/>
      <c r="F12" s="29"/>
      <c r="G12" s="29"/>
      <c r="H12" s="45"/>
      <c r="I12" s="46"/>
      <c r="J12" s="46"/>
    </row>
    <row r="13" ht="22.5" customHeight="1">
      <c r="A13" s="36"/>
      <c r="B13" s="27" t="s">
        <v>383</v>
      </c>
      <c r="C13" s="48"/>
      <c r="D13" s="34"/>
      <c r="E13" s="34"/>
      <c r="F13" s="34"/>
      <c r="G13" s="34"/>
      <c r="H13" s="41"/>
      <c r="I13" s="42"/>
      <c r="J13" s="42"/>
    </row>
    <row r="14" ht="22.5" customHeight="1">
      <c r="A14" s="31"/>
      <c r="B14" s="27" t="s">
        <v>384</v>
      </c>
      <c r="C14" s="37"/>
      <c r="D14" s="29"/>
      <c r="E14" s="29"/>
      <c r="F14" s="29"/>
      <c r="G14" s="29"/>
      <c r="H14" s="30"/>
      <c r="I14" s="31"/>
      <c r="J14" s="31"/>
    </row>
    <row r="15" ht="22.5" customHeight="1">
      <c r="A15" s="36"/>
      <c r="B15" s="27" t="s">
        <v>385</v>
      </c>
      <c r="C15" s="38"/>
      <c r="D15" s="34"/>
      <c r="E15" s="34"/>
      <c r="F15" s="34"/>
      <c r="G15" s="34"/>
      <c r="H15" s="35"/>
      <c r="I15" s="36"/>
      <c r="J15" s="36"/>
    </row>
    <row r="16" ht="22.5" customHeight="1">
      <c r="A16" s="31"/>
      <c r="B16" s="27" t="s">
        <v>386</v>
      </c>
      <c r="C16" s="28"/>
      <c r="D16" s="29"/>
      <c r="E16" s="29"/>
      <c r="F16" s="29"/>
      <c r="G16" s="29"/>
      <c r="H16" s="30"/>
      <c r="I16" s="31"/>
      <c r="J16" s="31"/>
    </row>
    <row r="17" ht="22.5" customHeight="1">
      <c r="A17" s="36"/>
      <c r="B17" s="27" t="s">
        <v>387</v>
      </c>
      <c r="C17" s="33"/>
      <c r="D17" s="34"/>
      <c r="E17" s="34"/>
      <c r="F17" s="34"/>
      <c r="G17" s="34"/>
      <c r="H17" s="35"/>
      <c r="I17" s="36"/>
      <c r="J17" s="36"/>
    </row>
    <row r="18" ht="22.5" customHeight="1">
      <c r="A18" s="31"/>
      <c r="B18" s="52"/>
      <c r="C18" s="28"/>
      <c r="D18" s="29"/>
      <c r="E18" s="29"/>
      <c r="F18" s="29"/>
      <c r="G18" s="29"/>
      <c r="H18" s="30"/>
      <c r="I18" s="31"/>
      <c r="J18" s="31"/>
    </row>
    <row r="19" ht="22.5" customHeight="1">
      <c r="A19" s="36"/>
      <c r="B19" s="51"/>
      <c r="C19" s="33"/>
      <c r="D19" s="34"/>
      <c r="E19" s="34"/>
      <c r="F19" s="34"/>
      <c r="G19" s="34"/>
      <c r="H19" s="35"/>
      <c r="I19" s="36"/>
      <c r="J19" s="36"/>
    </row>
    <row r="20" ht="22.5" customHeight="1">
      <c r="A20" s="31"/>
      <c r="B20" s="52"/>
      <c r="C20" s="28"/>
      <c r="D20" s="29"/>
      <c r="E20" s="29"/>
      <c r="F20" s="29"/>
      <c r="G20" s="29"/>
      <c r="H20" s="30"/>
      <c r="I20" s="31"/>
      <c r="J20" s="31"/>
    </row>
    <row r="21" ht="22.5" customHeight="1">
      <c r="A21" s="36"/>
      <c r="B21" s="51"/>
      <c r="C21" s="33"/>
      <c r="D21" s="34"/>
      <c r="E21" s="34"/>
      <c r="F21" s="34"/>
      <c r="G21" s="34"/>
      <c r="H21" s="41"/>
      <c r="I21" s="42"/>
      <c r="J21" s="42"/>
    </row>
    <row r="22" ht="22.5" customHeight="1">
      <c r="A22" s="31"/>
      <c r="B22" s="52"/>
      <c r="C22" s="28"/>
      <c r="D22" s="29"/>
      <c r="E22" s="29"/>
      <c r="F22" s="29"/>
      <c r="G22" s="29"/>
      <c r="H22" s="30"/>
      <c r="I22" s="31"/>
      <c r="J22" s="31"/>
    </row>
    <row r="23" ht="22.5" customHeight="1">
      <c r="A23" s="36"/>
      <c r="B23" s="51"/>
      <c r="C23" s="33"/>
      <c r="D23" s="34"/>
      <c r="E23" s="34"/>
      <c r="F23" s="34"/>
      <c r="G23" s="34"/>
      <c r="H23" s="35"/>
      <c r="I23" s="36"/>
      <c r="J23" s="36"/>
    </row>
    <row r="24" ht="22.5" customHeight="1">
      <c r="A24" s="31"/>
      <c r="B24" s="52"/>
      <c r="C24" s="28"/>
      <c r="D24" s="29"/>
      <c r="E24" s="29"/>
      <c r="F24" s="29"/>
      <c r="G24" s="29"/>
      <c r="H24" s="45"/>
      <c r="I24" s="46"/>
      <c r="J24" s="46"/>
    </row>
    <row r="25" ht="22.5" customHeight="1">
      <c r="A25" s="36"/>
      <c r="B25" s="51"/>
      <c r="C25" s="33"/>
      <c r="D25" s="34"/>
      <c r="E25" s="34"/>
      <c r="F25" s="34"/>
      <c r="G25" s="34"/>
      <c r="H25" s="41"/>
      <c r="I25" s="42"/>
      <c r="J25" s="42"/>
    </row>
    <row r="26" ht="22.5" customHeight="1">
      <c r="A26" s="31"/>
      <c r="B26" s="52"/>
      <c r="C26" s="28"/>
      <c r="D26" s="29"/>
      <c r="E26" s="29"/>
      <c r="F26" s="29"/>
      <c r="G26" s="29"/>
      <c r="H26" s="45"/>
      <c r="I26" s="46"/>
      <c r="J26" s="46"/>
    </row>
    <row r="27" ht="22.5" customHeight="1">
      <c r="A27" s="36"/>
      <c r="B27" s="51"/>
      <c r="C27" s="33"/>
      <c r="D27" s="34"/>
      <c r="E27" s="34"/>
      <c r="F27" s="34"/>
      <c r="G27" s="34"/>
      <c r="H27" s="41"/>
      <c r="I27" s="42"/>
      <c r="J27" s="42"/>
    </row>
    <row r="28" ht="22.5" customHeight="1">
      <c r="A28" s="31"/>
      <c r="B28" s="52"/>
      <c r="C28" s="28"/>
      <c r="D28" s="29"/>
      <c r="E28" s="29"/>
      <c r="F28" s="29"/>
      <c r="G28" s="29"/>
      <c r="H28" s="30"/>
      <c r="I28" s="31"/>
      <c r="J28" s="31"/>
    </row>
    <row r="29" ht="22.5" customHeight="1">
      <c r="A29" s="36"/>
      <c r="B29" s="51"/>
      <c r="C29" s="33"/>
      <c r="D29" s="34"/>
      <c r="E29" s="34"/>
      <c r="F29" s="34"/>
      <c r="G29" s="34"/>
      <c r="H29" s="35"/>
      <c r="I29" s="36"/>
      <c r="J29" s="36"/>
    </row>
    <row r="30" ht="22.5" customHeight="1">
      <c r="A30" s="31"/>
      <c r="B30" s="52"/>
      <c r="C30" s="28"/>
      <c r="D30" s="29"/>
      <c r="E30" s="29"/>
      <c r="F30" s="29"/>
      <c r="G30" s="29"/>
      <c r="H30" s="45"/>
      <c r="I30" s="46"/>
      <c r="J30" s="46"/>
    </row>
  </sheetData>
  <dataValidations>
    <dataValidation type="custom" allowBlank="1" showDropDown="1" sqref="A2:A30 J2:J30">
      <formula1>OR(NOT(ISERROR(DATEVALUE(A2))), AND(ISNUMBER(A2), LEFT(CELL("format", A2))="D"))</formula1>
    </dataValidation>
    <dataValidation type="list" allowBlank="1" sqref="H2:H30">
      <formula1>"Pass,Fail,-"</formula1>
    </dataValidation>
    <dataValidation type="list" allowBlank="1" sqref="C2:C30">
      <formula1>"Positive ,Negative,Functionality,UI/UX,Security"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31"/>
      <c r="B2" s="27" t="s">
        <v>388</v>
      </c>
      <c r="C2" s="28"/>
      <c r="D2" s="29"/>
      <c r="E2" s="29"/>
      <c r="F2" s="29"/>
      <c r="G2" s="29"/>
      <c r="H2" s="30"/>
      <c r="I2" s="31"/>
      <c r="J2" s="31"/>
    </row>
    <row r="3" ht="22.5" customHeight="1">
      <c r="A3" s="36"/>
      <c r="B3" s="27" t="s">
        <v>389</v>
      </c>
      <c r="C3" s="33"/>
      <c r="D3" s="34"/>
      <c r="E3" s="34"/>
      <c r="F3" s="34"/>
      <c r="G3" s="34"/>
      <c r="H3" s="35"/>
      <c r="I3" s="36"/>
      <c r="J3" s="36"/>
    </row>
    <row r="4" ht="22.5" customHeight="1">
      <c r="A4" s="31"/>
      <c r="B4" s="27" t="s">
        <v>390</v>
      </c>
      <c r="C4" s="37"/>
      <c r="D4" s="29"/>
      <c r="E4" s="29"/>
      <c r="F4" s="29"/>
      <c r="G4" s="29"/>
      <c r="H4" s="30"/>
      <c r="I4" s="31"/>
      <c r="J4" s="31"/>
    </row>
    <row r="5" ht="22.5" customHeight="1">
      <c r="A5" s="36"/>
      <c r="B5" s="27" t="s">
        <v>391</v>
      </c>
      <c r="C5" s="38"/>
      <c r="D5" s="34"/>
      <c r="E5" s="34"/>
      <c r="F5" s="34"/>
      <c r="G5" s="34"/>
      <c r="H5" s="35"/>
      <c r="I5" s="36"/>
      <c r="J5" s="36"/>
    </row>
    <row r="6" ht="22.5" customHeight="1">
      <c r="A6" s="31"/>
      <c r="B6" s="27" t="s">
        <v>392</v>
      </c>
      <c r="C6" s="37"/>
      <c r="D6" s="29"/>
      <c r="E6" s="29"/>
      <c r="F6" s="29"/>
      <c r="G6" s="29"/>
      <c r="H6" s="30"/>
      <c r="I6" s="39"/>
      <c r="J6" s="39"/>
    </row>
    <row r="7" ht="22.5" customHeight="1">
      <c r="A7" s="36"/>
      <c r="B7" s="27" t="s">
        <v>393</v>
      </c>
      <c r="C7" s="38"/>
      <c r="D7" s="34"/>
      <c r="E7" s="34"/>
      <c r="F7" s="34"/>
      <c r="G7" s="34"/>
      <c r="H7" s="41"/>
      <c r="I7" s="42"/>
      <c r="J7" s="42"/>
    </row>
    <row r="8" ht="22.5" customHeight="1">
      <c r="A8" s="31"/>
      <c r="B8" s="27" t="s">
        <v>394</v>
      </c>
      <c r="C8" s="44"/>
      <c r="D8" s="29"/>
      <c r="E8" s="29"/>
      <c r="F8" s="29"/>
      <c r="G8" s="29"/>
      <c r="H8" s="45"/>
      <c r="I8" s="46"/>
      <c r="J8" s="46"/>
    </row>
    <row r="9" ht="22.5" customHeight="1">
      <c r="A9" s="36"/>
      <c r="B9" s="27" t="s">
        <v>395</v>
      </c>
      <c r="C9" s="48"/>
      <c r="D9" s="34"/>
      <c r="E9" s="34"/>
      <c r="F9" s="34"/>
      <c r="G9" s="34"/>
      <c r="H9" s="35"/>
      <c r="I9" s="49"/>
      <c r="J9" s="49"/>
    </row>
    <row r="10" ht="22.5" customHeight="1">
      <c r="A10" s="31"/>
      <c r="B10" s="27" t="s">
        <v>396</v>
      </c>
      <c r="C10" s="44"/>
      <c r="D10" s="29"/>
      <c r="E10" s="29"/>
      <c r="F10" s="29"/>
      <c r="G10" s="29"/>
      <c r="H10" s="45"/>
      <c r="I10" s="46"/>
      <c r="J10" s="46"/>
    </row>
    <row r="11" ht="22.5" customHeight="1">
      <c r="A11" s="36"/>
      <c r="B11" s="27" t="s">
        <v>397</v>
      </c>
      <c r="C11" s="48"/>
      <c r="D11" s="34"/>
      <c r="E11" s="34"/>
      <c r="F11" s="34"/>
      <c r="G11" s="34"/>
      <c r="H11" s="41"/>
      <c r="I11" s="42"/>
      <c r="J11" s="42"/>
    </row>
    <row r="12" ht="22.5" customHeight="1">
      <c r="A12" s="31"/>
      <c r="B12" s="27" t="s">
        <v>398</v>
      </c>
      <c r="C12" s="44"/>
      <c r="D12" s="29"/>
      <c r="E12" s="29"/>
      <c r="F12" s="29"/>
      <c r="G12" s="29"/>
      <c r="H12" s="45"/>
      <c r="I12" s="46"/>
      <c r="J12" s="46"/>
    </row>
    <row r="13" ht="22.5" customHeight="1">
      <c r="A13" s="36"/>
      <c r="B13" s="27" t="s">
        <v>399</v>
      </c>
      <c r="C13" s="48"/>
      <c r="D13" s="34"/>
      <c r="E13" s="34"/>
      <c r="F13" s="34"/>
      <c r="G13" s="34"/>
      <c r="H13" s="41"/>
      <c r="I13" s="42"/>
      <c r="J13" s="42"/>
    </row>
    <row r="14" ht="22.5" customHeight="1">
      <c r="A14" s="31"/>
      <c r="B14" s="27" t="s">
        <v>400</v>
      </c>
      <c r="C14" s="37"/>
      <c r="D14" s="29"/>
      <c r="E14" s="29"/>
      <c r="F14" s="29"/>
      <c r="G14" s="29"/>
      <c r="H14" s="30"/>
      <c r="I14" s="31"/>
      <c r="J14" s="31"/>
    </row>
    <row r="15" ht="22.5" customHeight="1">
      <c r="A15" s="36"/>
      <c r="B15" s="27" t="s">
        <v>401</v>
      </c>
      <c r="C15" s="38"/>
      <c r="D15" s="34"/>
      <c r="E15" s="34"/>
      <c r="F15" s="34"/>
      <c r="G15" s="34"/>
      <c r="H15" s="35"/>
      <c r="I15" s="36"/>
      <c r="J15" s="36"/>
    </row>
    <row r="16" ht="22.5" customHeight="1">
      <c r="A16" s="31"/>
      <c r="B16" s="27" t="s">
        <v>402</v>
      </c>
      <c r="C16" s="28"/>
      <c r="D16" s="29"/>
      <c r="E16" s="29"/>
      <c r="F16" s="29"/>
      <c r="G16" s="29"/>
      <c r="H16" s="30"/>
      <c r="I16" s="31"/>
      <c r="J16" s="31"/>
    </row>
    <row r="17" ht="22.5" customHeight="1">
      <c r="A17" s="36"/>
      <c r="B17" s="27" t="s">
        <v>403</v>
      </c>
      <c r="C17" s="33"/>
      <c r="D17" s="34"/>
      <c r="E17" s="34"/>
      <c r="F17" s="34"/>
      <c r="G17" s="34"/>
      <c r="H17" s="35"/>
      <c r="I17" s="36"/>
      <c r="J17" s="36"/>
    </row>
    <row r="18" ht="22.5" customHeight="1">
      <c r="A18" s="31"/>
      <c r="B18" s="52"/>
      <c r="C18" s="28"/>
      <c r="D18" s="29"/>
      <c r="E18" s="29"/>
      <c r="F18" s="29"/>
      <c r="G18" s="29"/>
      <c r="H18" s="30"/>
      <c r="I18" s="31"/>
      <c r="J18" s="31"/>
    </row>
    <row r="19" ht="22.5" customHeight="1">
      <c r="A19" s="36"/>
      <c r="B19" s="51"/>
      <c r="C19" s="33"/>
      <c r="D19" s="34"/>
      <c r="E19" s="34"/>
      <c r="F19" s="34"/>
      <c r="G19" s="34"/>
      <c r="H19" s="35"/>
      <c r="I19" s="36"/>
      <c r="J19" s="36"/>
    </row>
    <row r="20" ht="22.5" customHeight="1">
      <c r="A20" s="31"/>
      <c r="B20" s="52"/>
      <c r="C20" s="28"/>
      <c r="D20" s="29"/>
      <c r="E20" s="29"/>
      <c r="F20" s="29"/>
      <c r="G20" s="29"/>
      <c r="H20" s="30"/>
      <c r="I20" s="31"/>
      <c r="J20" s="31"/>
    </row>
    <row r="21" ht="22.5" customHeight="1">
      <c r="A21" s="36"/>
      <c r="B21" s="51"/>
      <c r="C21" s="33"/>
      <c r="D21" s="34"/>
      <c r="E21" s="34"/>
      <c r="F21" s="34"/>
      <c r="G21" s="34"/>
      <c r="H21" s="41"/>
      <c r="I21" s="42"/>
      <c r="J21" s="42"/>
    </row>
    <row r="22" ht="22.5" customHeight="1">
      <c r="A22" s="31"/>
      <c r="B22" s="52"/>
      <c r="C22" s="28"/>
      <c r="D22" s="29"/>
      <c r="E22" s="29"/>
      <c r="F22" s="29"/>
      <c r="G22" s="29"/>
      <c r="H22" s="30"/>
      <c r="I22" s="31"/>
      <c r="J22" s="31"/>
    </row>
    <row r="23" ht="22.5" customHeight="1">
      <c r="A23" s="36"/>
      <c r="B23" s="51"/>
      <c r="C23" s="33"/>
      <c r="D23" s="34"/>
      <c r="E23" s="34"/>
      <c r="F23" s="34"/>
      <c r="G23" s="34"/>
      <c r="H23" s="35"/>
      <c r="I23" s="36"/>
      <c r="J23" s="36"/>
    </row>
    <row r="24" ht="22.5" customHeight="1">
      <c r="A24" s="31"/>
      <c r="B24" s="52"/>
      <c r="C24" s="28"/>
      <c r="D24" s="29"/>
      <c r="E24" s="29"/>
      <c r="F24" s="29"/>
      <c r="G24" s="29"/>
      <c r="H24" s="45"/>
      <c r="I24" s="46"/>
      <c r="J24" s="46"/>
    </row>
    <row r="25" ht="22.5" customHeight="1">
      <c r="A25" s="36"/>
      <c r="B25" s="51"/>
      <c r="C25" s="33"/>
      <c r="D25" s="34"/>
      <c r="E25" s="34"/>
      <c r="F25" s="34"/>
      <c r="G25" s="34"/>
      <c r="H25" s="41"/>
      <c r="I25" s="42"/>
      <c r="J25" s="42"/>
    </row>
    <row r="26" ht="22.5" customHeight="1">
      <c r="A26" s="31"/>
      <c r="B26" s="52"/>
      <c r="C26" s="28"/>
      <c r="D26" s="29"/>
      <c r="E26" s="29"/>
      <c r="F26" s="29"/>
      <c r="G26" s="29"/>
      <c r="H26" s="45"/>
      <c r="I26" s="46"/>
      <c r="J26" s="46"/>
    </row>
    <row r="27" ht="22.5" customHeight="1">
      <c r="A27" s="36"/>
      <c r="B27" s="51"/>
      <c r="C27" s="33"/>
      <c r="D27" s="34"/>
      <c r="E27" s="34"/>
      <c r="F27" s="34"/>
      <c r="G27" s="34"/>
      <c r="H27" s="41"/>
      <c r="I27" s="42"/>
      <c r="J27" s="42"/>
    </row>
    <row r="28" ht="22.5" customHeight="1">
      <c r="A28" s="31"/>
      <c r="B28" s="52"/>
      <c r="C28" s="28"/>
      <c r="D28" s="29"/>
      <c r="E28" s="29"/>
      <c r="F28" s="29"/>
      <c r="G28" s="29"/>
      <c r="H28" s="30"/>
      <c r="I28" s="31"/>
      <c r="J28" s="31"/>
    </row>
    <row r="29" ht="22.5" customHeight="1">
      <c r="A29" s="36"/>
      <c r="B29" s="51"/>
      <c r="C29" s="33"/>
      <c r="D29" s="34"/>
      <c r="E29" s="34"/>
      <c r="F29" s="34"/>
      <c r="G29" s="34"/>
      <c r="H29" s="35"/>
      <c r="I29" s="36"/>
      <c r="J29" s="36"/>
    </row>
    <row r="30" ht="22.5" customHeight="1">
      <c r="A30" s="31"/>
      <c r="B30" s="52"/>
      <c r="C30" s="28"/>
      <c r="D30" s="29"/>
      <c r="E30" s="29"/>
      <c r="F30" s="29"/>
      <c r="G30" s="29"/>
      <c r="H30" s="45"/>
      <c r="I30" s="46"/>
      <c r="J30" s="46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dataValidations>
    <dataValidation type="custom" allowBlank="1" showDropDown="1" sqref="A2:A30 J2:J30">
      <formula1>OR(NOT(ISERROR(DATEVALUE(A2))), AND(ISNUMBER(A2), LEFT(CELL("format", A2))="D"))</formula1>
    </dataValidation>
    <dataValidation type="list" allowBlank="1" sqref="H2:H30">
      <formula1>"Pass,Fail,-"</formula1>
    </dataValidation>
    <dataValidation type="list" allowBlank="1" sqref="C2:C30">
      <formula1>"Positive ,Negative,Functionality,UI/UX,Security"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21" t="s">
        <v>19</v>
      </c>
      <c r="B1" s="22" t="s">
        <v>20</v>
      </c>
      <c r="C1" s="23" t="s">
        <v>21</v>
      </c>
      <c r="D1" s="23" t="s">
        <v>22</v>
      </c>
      <c r="E1" s="23" t="s">
        <v>23</v>
      </c>
      <c r="F1" s="23" t="s">
        <v>24</v>
      </c>
      <c r="G1" s="24" t="s">
        <v>25</v>
      </c>
      <c r="H1" s="23" t="s">
        <v>26</v>
      </c>
      <c r="I1" s="25" t="s">
        <v>27</v>
      </c>
      <c r="J1" s="25" t="s">
        <v>28</v>
      </c>
    </row>
    <row r="2" ht="22.5" customHeight="1">
      <c r="A2" s="31"/>
      <c r="B2" s="27" t="s">
        <v>404</v>
      </c>
      <c r="C2" s="28"/>
      <c r="D2" s="29"/>
      <c r="E2" s="29"/>
      <c r="F2" s="29"/>
      <c r="G2" s="29"/>
      <c r="H2" s="30"/>
      <c r="I2" s="31"/>
      <c r="J2" s="31"/>
    </row>
    <row r="3" ht="22.5" customHeight="1">
      <c r="A3" s="36"/>
      <c r="B3" s="27" t="s">
        <v>405</v>
      </c>
      <c r="C3" s="33"/>
      <c r="D3" s="34"/>
      <c r="E3" s="34"/>
      <c r="F3" s="34"/>
      <c r="G3" s="34"/>
      <c r="H3" s="35"/>
      <c r="I3" s="36"/>
      <c r="J3" s="36"/>
    </row>
    <row r="4" ht="22.5" customHeight="1">
      <c r="A4" s="31"/>
      <c r="B4" s="27" t="s">
        <v>406</v>
      </c>
      <c r="C4" s="37"/>
      <c r="D4" s="29"/>
      <c r="E4" s="29"/>
      <c r="F4" s="29"/>
      <c r="G4" s="29"/>
      <c r="H4" s="30"/>
      <c r="I4" s="31"/>
      <c r="J4" s="31"/>
    </row>
    <row r="5" ht="22.5" customHeight="1">
      <c r="A5" s="36"/>
      <c r="B5" s="27" t="s">
        <v>407</v>
      </c>
      <c r="C5" s="38"/>
      <c r="D5" s="34"/>
      <c r="E5" s="34"/>
      <c r="F5" s="34"/>
      <c r="G5" s="34"/>
      <c r="H5" s="35"/>
      <c r="I5" s="36"/>
      <c r="J5" s="36"/>
    </row>
    <row r="6" ht="22.5" customHeight="1">
      <c r="A6" s="31"/>
      <c r="B6" s="27" t="s">
        <v>408</v>
      </c>
      <c r="C6" s="37"/>
      <c r="D6" s="29"/>
      <c r="E6" s="29"/>
      <c r="F6" s="29"/>
      <c r="G6" s="29"/>
      <c r="H6" s="30"/>
      <c r="I6" s="39"/>
      <c r="J6" s="39"/>
    </row>
    <row r="7" ht="22.5" customHeight="1">
      <c r="A7" s="36"/>
      <c r="B7" s="27" t="s">
        <v>409</v>
      </c>
      <c r="C7" s="38"/>
      <c r="D7" s="34"/>
      <c r="E7" s="34"/>
      <c r="F7" s="34"/>
      <c r="G7" s="34"/>
      <c r="H7" s="41"/>
      <c r="I7" s="42"/>
      <c r="J7" s="42"/>
    </row>
    <row r="8" ht="22.5" customHeight="1">
      <c r="A8" s="31"/>
      <c r="B8" s="27" t="s">
        <v>410</v>
      </c>
      <c r="C8" s="44"/>
      <c r="D8" s="29"/>
      <c r="E8" s="29"/>
      <c r="F8" s="29"/>
      <c r="G8" s="29"/>
      <c r="H8" s="45"/>
      <c r="I8" s="46"/>
      <c r="J8" s="46"/>
    </row>
    <row r="9" ht="22.5" customHeight="1">
      <c r="A9" s="36"/>
      <c r="B9" s="27" t="s">
        <v>411</v>
      </c>
      <c r="C9" s="48"/>
      <c r="D9" s="34"/>
      <c r="E9" s="34"/>
      <c r="F9" s="34"/>
      <c r="G9" s="34"/>
      <c r="H9" s="35"/>
      <c r="I9" s="49"/>
      <c r="J9" s="49"/>
    </row>
    <row r="10" ht="22.5" customHeight="1">
      <c r="A10" s="31"/>
      <c r="B10" s="27" t="s">
        <v>412</v>
      </c>
      <c r="C10" s="44"/>
      <c r="D10" s="29"/>
      <c r="E10" s="29"/>
      <c r="F10" s="29"/>
      <c r="G10" s="29"/>
      <c r="H10" s="45"/>
      <c r="I10" s="46"/>
      <c r="J10" s="46"/>
    </row>
    <row r="11" ht="22.5" customHeight="1">
      <c r="A11" s="36"/>
      <c r="B11" s="27" t="s">
        <v>413</v>
      </c>
      <c r="C11" s="48"/>
      <c r="D11" s="34"/>
      <c r="E11" s="34"/>
      <c r="F11" s="34"/>
      <c r="G11" s="34"/>
      <c r="H11" s="41"/>
      <c r="I11" s="42"/>
      <c r="J11" s="42"/>
    </row>
    <row r="12" ht="22.5" customHeight="1">
      <c r="A12" s="31"/>
      <c r="B12" s="27" t="s">
        <v>414</v>
      </c>
      <c r="C12" s="44"/>
      <c r="D12" s="29"/>
      <c r="E12" s="29"/>
      <c r="F12" s="29"/>
      <c r="G12" s="29"/>
      <c r="H12" s="45"/>
      <c r="I12" s="46"/>
      <c r="J12" s="46"/>
    </row>
    <row r="13" ht="22.5" customHeight="1">
      <c r="A13" s="36"/>
      <c r="B13" s="27" t="s">
        <v>415</v>
      </c>
      <c r="C13" s="48"/>
      <c r="D13" s="34"/>
      <c r="E13" s="34"/>
      <c r="F13" s="34"/>
      <c r="G13" s="34"/>
      <c r="H13" s="41"/>
      <c r="I13" s="42"/>
      <c r="J13" s="42"/>
    </row>
    <row r="14" ht="22.5" customHeight="1">
      <c r="A14" s="31"/>
      <c r="B14" s="27" t="s">
        <v>416</v>
      </c>
      <c r="C14" s="37"/>
      <c r="D14" s="29"/>
      <c r="E14" s="29"/>
      <c r="F14" s="29"/>
      <c r="G14" s="29"/>
      <c r="H14" s="30"/>
      <c r="I14" s="31"/>
      <c r="J14" s="31"/>
    </row>
    <row r="15" ht="22.5" customHeight="1">
      <c r="A15" s="36"/>
      <c r="B15" s="27" t="s">
        <v>417</v>
      </c>
      <c r="C15" s="38"/>
      <c r="D15" s="34"/>
      <c r="E15" s="34"/>
      <c r="F15" s="34"/>
      <c r="G15" s="34"/>
      <c r="H15" s="35"/>
      <c r="I15" s="36"/>
      <c r="J15" s="36"/>
    </row>
    <row r="16" ht="22.5" customHeight="1">
      <c r="A16" s="31"/>
      <c r="B16" s="27" t="s">
        <v>418</v>
      </c>
      <c r="C16" s="28"/>
      <c r="D16" s="29"/>
      <c r="E16" s="29"/>
      <c r="F16" s="29"/>
      <c r="G16" s="29"/>
      <c r="H16" s="30"/>
      <c r="I16" s="31"/>
      <c r="J16" s="31"/>
    </row>
    <row r="17" ht="22.5" customHeight="1">
      <c r="A17" s="36"/>
      <c r="B17" s="27" t="s">
        <v>419</v>
      </c>
      <c r="C17" s="33"/>
      <c r="D17" s="34"/>
      <c r="E17" s="34"/>
      <c r="F17" s="34"/>
      <c r="G17" s="34"/>
      <c r="H17" s="35"/>
      <c r="I17" s="36"/>
      <c r="J17" s="36"/>
    </row>
    <row r="18" ht="22.5" customHeight="1">
      <c r="A18" s="31"/>
      <c r="B18" s="27" t="s">
        <v>420</v>
      </c>
      <c r="C18" s="28"/>
      <c r="D18" s="29"/>
      <c r="E18" s="29"/>
      <c r="F18" s="29"/>
      <c r="G18" s="29"/>
      <c r="H18" s="30"/>
      <c r="I18" s="31"/>
      <c r="J18" s="31"/>
    </row>
    <row r="19" ht="22.5" customHeight="1">
      <c r="A19" s="36"/>
      <c r="B19" s="51"/>
      <c r="C19" s="33"/>
      <c r="D19" s="34"/>
      <c r="E19" s="34"/>
      <c r="F19" s="34"/>
      <c r="G19" s="34"/>
      <c r="H19" s="35"/>
      <c r="I19" s="36"/>
      <c r="J19" s="36"/>
    </row>
    <row r="20" ht="22.5" customHeight="1">
      <c r="A20" s="31"/>
      <c r="B20" s="52"/>
      <c r="C20" s="28"/>
      <c r="D20" s="29"/>
      <c r="E20" s="29"/>
      <c r="F20" s="29"/>
      <c r="G20" s="29"/>
      <c r="H20" s="30"/>
      <c r="I20" s="31"/>
      <c r="J20" s="31"/>
    </row>
    <row r="21" ht="22.5" customHeight="1">
      <c r="A21" s="36"/>
      <c r="B21" s="51"/>
      <c r="C21" s="33"/>
      <c r="D21" s="34"/>
      <c r="E21" s="34"/>
      <c r="F21" s="34"/>
      <c r="G21" s="34"/>
      <c r="H21" s="41"/>
      <c r="I21" s="42"/>
      <c r="J21" s="42"/>
    </row>
    <row r="22" ht="22.5" customHeight="1">
      <c r="A22" s="31"/>
      <c r="B22" s="52"/>
      <c r="C22" s="28"/>
      <c r="D22" s="29"/>
      <c r="E22" s="29"/>
      <c r="F22" s="29"/>
      <c r="G22" s="29"/>
      <c r="H22" s="30"/>
      <c r="I22" s="31"/>
      <c r="J22" s="31"/>
    </row>
    <row r="23" ht="22.5" customHeight="1">
      <c r="A23" s="36"/>
      <c r="B23" s="51"/>
      <c r="C23" s="33"/>
      <c r="D23" s="34"/>
      <c r="E23" s="34"/>
      <c r="F23" s="34"/>
      <c r="G23" s="34"/>
      <c r="H23" s="35"/>
      <c r="I23" s="36"/>
      <c r="J23" s="36"/>
    </row>
    <row r="24" ht="22.5" customHeight="1">
      <c r="A24" s="31"/>
      <c r="B24" s="52"/>
      <c r="C24" s="28"/>
      <c r="D24" s="29"/>
      <c r="E24" s="29"/>
      <c r="F24" s="29"/>
      <c r="G24" s="29"/>
      <c r="H24" s="45"/>
      <c r="I24" s="46"/>
      <c r="J24" s="46"/>
    </row>
    <row r="25" ht="22.5" customHeight="1">
      <c r="A25" s="36"/>
      <c r="B25" s="51"/>
      <c r="C25" s="33"/>
      <c r="D25" s="34"/>
      <c r="E25" s="34"/>
      <c r="F25" s="34"/>
      <c r="G25" s="34"/>
      <c r="H25" s="41"/>
      <c r="I25" s="42"/>
      <c r="J25" s="42"/>
    </row>
    <row r="26" ht="22.5" customHeight="1">
      <c r="A26" s="31"/>
      <c r="B26" s="52"/>
      <c r="C26" s="28"/>
      <c r="D26" s="29"/>
      <c r="E26" s="29"/>
      <c r="F26" s="29"/>
      <c r="G26" s="29"/>
      <c r="H26" s="45"/>
      <c r="I26" s="46"/>
      <c r="J26" s="46"/>
    </row>
    <row r="27" ht="22.5" customHeight="1">
      <c r="A27" s="36"/>
      <c r="B27" s="51"/>
      <c r="C27" s="33"/>
      <c r="D27" s="34"/>
      <c r="E27" s="34"/>
      <c r="F27" s="34"/>
      <c r="G27" s="34"/>
      <c r="H27" s="41"/>
      <c r="I27" s="42"/>
      <c r="J27" s="42"/>
    </row>
    <row r="28" ht="22.5" customHeight="1">
      <c r="A28" s="31"/>
      <c r="B28" s="52"/>
      <c r="C28" s="28"/>
      <c r="D28" s="29"/>
      <c r="E28" s="29"/>
      <c r="F28" s="29"/>
      <c r="G28" s="29"/>
      <c r="H28" s="30"/>
      <c r="I28" s="31"/>
      <c r="J28" s="31"/>
    </row>
    <row r="29" ht="22.5" customHeight="1">
      <c r="A29" s="36"/>
      <c r="B29" s="51"/>
      <c r="C29" s="33"/>
      <c r="D29" s="34"/>
      <c r="E29" s="34"/>
      <c r="F29" s="34"/>
      <c r="G29" s="34"/>
      <c r="H29" s="35"/>
      <c r="I29" s="36"/>
      <c r="J29" s="36"/>
    </row>
    <row r="30" ht="22.5" customHeight="1">
      <c r="A30" s="31"/>
      <c r="B30" s="52"/>
      <c r="C30" s="28"/>
      <c r="D30" s="29"/>
      <c r="E30" s="29"/>
      <c r="F30" s="29"/>
      <c r="G30" s="29"/>
      <c r="H30" s="45"/>
      <c r="I30" s="46"/>
      <c r="J30" s="46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dataValidations>
    <dataValidation type="custom" allowBlank="1" showDropDown="1" sqref="A2:A30 J2:J30">
      <formula1>OR(NOT(ISERROR(DATEVALUE(A2))), AND(ISNUMBER(A2), LEFT(CELL("format", A2))="D"))</formula1>
    </dataValidation>
    <dataValidation type="list" allowBlank="1" sqref="H2:H30">
      <formula1>"Pass,Fail,-"</formula1>
    </dataValidation>
    <dataValidation type="list" allowBlank="1" sqref="C2:C30">
      <formula1>"Positive ,Negative,Functionality,UI/UX,Security"</formula1>
    </dataValidation>
  </dataValidations>
  <drawing r:id="rId1"/>
  <tableParts count="1">
    <tablePart r:id="rId3"/>
  </tableParts>
</worksheet>
</file>